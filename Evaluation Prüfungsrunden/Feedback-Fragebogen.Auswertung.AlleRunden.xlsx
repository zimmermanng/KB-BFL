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ppl\Nextcloud2\Documents\KB-BFL\GitHub\KB-BFL\Evaluation Prüfungsrunden\"/>
    </mc:Choice>
  </mc:AlternateContent>
  <xr:revisionPtr revIDLastSave="0" documentId="13_ncr:1_{21E83738-2E2C-4B31-8EB3-F358ED906BD5}" xr6:coauthVersionLast="47" xr6:coauthVersionMax="47" xr10:uidLastSave="{00000000-0000-0000-0000-000000000000}"/>
  <bookViews>
    <workbookView xWindow="-28920" yWindow="15" windowWidth="29040" windowHeight="15720" activeTab="5" xr2:uid="{00000000-000D-0000-FFFF-FFFF00000000}"/>
  </bookViews>
  <sheets>
    <sheet name="Quote" sheetId="1" r:id="rId1"/>
    <sheet name="Standorte" sheetId="2" r:id="rId2"/>
    <sheet name="Examsfragen" sheetId="3" r:id="rId3"/>
    <sheet name="Feedback" sheetId="4" r:id="rId4"/>
    <sheet name="1) Beruflicher Hintergrund" sheetId="5" r:id="rId5"/>
    <sheet name="4) Infoquelle" sheetId="6" r:id="rId6"/>
    <sheet name="5) Beweggrund" sheetId="7" r:id="rId7"/>
    <sheet name="6) &amp; 7) Lernkurs" sheetId="8" r:id="rId8"/>
    <sheet name="8), 9), 10) Examsfragen" sheetId="9" r:id="rId9"/>
    <sheet name="11) Organisation" sheetId="10" r:id="rId10"/>
    <sheet name="12) Weiterempfehlung" sheetId="11" r:id="rId11"/>
    <sheet name="13) Feedback" sheetId="12" r:id="rId12"/>
  </sheet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8" i="6" l="1"/>
  <c r="B17" i="6"/>
  <c r="B16" i="6"/>
  <c r="B15" i="6"/>
  <c r="G6" i="1"/>
  <c r="F6" i="1"/>
  <c r="E6" i="1"/>
  <c r="D6" i="1"/>
</calcChain>
</file>

<file path=xl/sharedStrings.xml><?xml version="1.0" encoding="utf-8"?>
<sst xmlns="http://schemas.openxmlformats.org/spreadsheetml/2006/main" count="1064" uniqueCount="275">
  <si>
    <t>Runde</t>
  </si>
  <si>
    <t>Datum</t>
  </si>
  <si>
    <t>Standorte</t>
  </si>
  <si>
    <t>Anzahl Teilnehmende</t>
  </si>
  <si>
    <t xml:space="preserve">Bestanden </t>
  </si>
  <si>
    <t xml:space="preserve">Nicht bestanden </t>
  </si>
  <si>
    <t>Feedback</t>
  </si>
  <si>
    <t>2024-11</t>
  </si>
  <si>
    <t>2025-04</t>
  </si>
  <si>
    <t>2025-10</t>
  </si>
  <si>
    <t>Gesamt</t>
  </si>
  <si>
    <t>Anzahl von 2) Wo haben Sie an der Prüfung teilgenommen?</t>
  </si>
  <si>
    <t>Spaltenbeschriftungen</t>
  </si>
  <si>
    <t>Zeilenbeschriftungen</t>
  </si>
  <si>
    <t>Gesamtergebnis</t>
  </si>
  <si>
    <t>Atos Bydgoszcz (Polen)</t>
  </si>
  <si>
    <t>Atos Köln</t>
  </si>
  <si>
    <t>HFC Human-Factors-Consult Berlin</t>
  </si>
  <si>
    <t>Hochschule der Medien Stuttgart</t>
  </si>
  <si>
    <t>Johannes Kepler Universität Linz</t>
  </si>
  <si>
    <t>Technische Universität Chemnitz</t>
  </si>
  <si>
    <t>tollwerk Nürnberg</t>
  </si>
  <si>
    <t>Universität Bielefeld</t>
  </si>
  <si>
    <t>Universität Siegen</t>
  </si>
  <si>
    <t>Modul</t>
  </si>
  <si>
    <t>Stufe</t>
  </si>
  <si>
    <t>Runde 1</t>
  </si>
  <si>
    <t>Runde 2</t>
  </si>
  <si>
    <t>Runde 3</t>
  </si>
  <si>
    <t>GR</t>
  </si>
  <si>
    <t>Insgesamt</t>
  </si>
  <si>
    <t>VB</t>
  </si>
  <si>
    <t>BH</t>
  </si>
  <si>
    <t>TD</t>
  </si>
  <si>
    <t>Antwort Nr.</t>
  </si>
  <si>
    <t>1) Beruflicher Hintergrund</t>
  </si>
  <si>
    <t>Wenn Sie "Sonstiges" ausgewählt haben, tragen Sie bitte Ihren beruflichen Hintergrund ein:</t>
  </si>
  <si>
    <t>2) Wo haben Sie an der Prüfung teilgenommen?</t>
  </si>
  <si>
    <t>3) Haben Sie einen Nachteilsausgleich in Anspruch genommen?</t>
  </si>
  <si>
    <t>4) Wie sind Sie auf die Prüfung zum Knowledge Badge „Barrierefrei lehren“ aufmerksam geworden?</t>
  </si>
  <si>
    <t>Wenn Sie "Sonstiges" ausgewählt haben, tragen Sie bitte ein, wie Sie auf die Prüfung aufmerksam geworden sind:</t>
  </si>
  <si>
    <t>5) Warum haben Sie sich entschieden, die Prüfung zum Knowledge Badge „Barrierefrei lehren“ abzulegen?</t>
  </si>
  <si>
    <t>6) Wie lange haben Sie sich mittels des Lernkurses „Knowledge Badge“ auf die Prüfung vorbereitet?</t>
  </si>
  <si>
    <t>7) Durch den Lernkurs fühlte ich mich gut auf die Prüfung vorbereitet (nur ausfüllen, wenn Sie den Lernkurs als Vorbereitung verwendet haben)</t>
  </si>
  <si>
    <t>Warum? (optional)</t>
  </si>
  <si>
    <t>8) Die Fragen waren verständlich formuliert</t>
  </si>
  <si>
    <t>Warum? (optional)2</t>
  </si>
  <si>
    <t>9) Die Fragen waren insgesamt ...</t>
  </si>
  <si>
    <t>10) Es bestand ausreichend Zeit, die Fragen zu beantworten</t>
  </si>
  <si>
    <t>11) Die Prüfung vor Ort war gut organisiert und verlief reibungslos</t>
  </si>
  <si>
    <t>Warum? (optional)3</t>
  </si>
  <si>
    <t>12) Ich würde den Erwerb des Knowledge Badge „Barrierefrei lehren“ meinen Kolleginnen und Kollegen weiterempfehlen</t>
  </si>
  <si>
    <t>Warum? (optional)4</t>
  </si>
  <si>
    <t>13) Möchten Sie uns noch etwas mitteilen?</t>
  </si>
  <si>
    <t>1</t>
  </si>
  <si>
    <t>Ich bin lehrende Person an einer Hochschule/Universität</t>
  </si>
  <si>
    <t>Nein</t>
  </si>
  <si>
    <t>Durch Informationen von IAAP D-A-CH</t>
  </si>
  <si>
    <t>Sichtbarmachung der Kompetenz für meine freiberufliche Tätigkeit.</t>
  </si>
  <si>
    <t>6-15 Stunden</t>
  </si>
  <si>
    <t>Stimme voll zu</t>
  </si>
  <si>
    <t>Eher leicht</t>
  </si>
  <si>
    <t>2</t>
  </si>
  <si>
    <t>Ich arbeite im Bereich Digitale Barrierefreiheit</t>
  </si>
  <si>
    <t>Durch den Newsletter / die Webseite des Kompetenzzentrums Digitale Barrierefreiheit der HdM Stuttgart   Durch Informationen von IAAP D-A-CH</t>
  </si>
  <si>
    <t>Stimme eher zu</t>
  </si>
  <si>
    <t>Mitunter war der Kontext der Frage und deren Antworten nicht klar genug</t>
  </si>
  <si>
    <t>Durchschnittlich</t>
  </si>
  <si>
    <t>3</t>
  </si>
  <si>
    <t>Da es immer gut ist, sein Wissen auch belegen zu können.      Da mein Arbeitgeber mich dazu augefordert hat.      Da die Prüfung und der Vorbereitungskurs kostenlos waren.</t>
  </si>
  <si>
    <t>Der Kurs ist gut konzipiert und hat gute Beispiele.</t>
  </si>
  <si>
    <t>Unentschieden</t>
  </si>
  <si>
    <t>Die meisten Fragen waren gut formuliert, einige Antworten jedoch waren über das normale Maß hinaus zwiespältig bzw. ungenau formuliert.</t>
  </si>
  <si>
    <t>Es war chaotisch und z. B. gab es zuerst kein zuverlässiges WLAN.</t>
  </si>
  <si>
    <t>4</t>
  </si>
  <si>
    <t>1-5 Stunden</t>
  </si>
  <si>
    <t>Stimme eher nicht zu</t>
  </si>
  <si>
    <t>Die Wordings waren in der Prüfung nicht die gleichen, wie im Lernkurs. Das war zu verwirrend und hat mich aus dem Konzept gebracht, bzw. zweifeln lassen.</t>
  </si>
  <si>
    <t>Ich würde am Ende gern wissen, welche Fragen ich falsch beantwortet habe und die korrekten Antworten erhalten. So weiß ich nicht, welche Informationen ich mir falsch gemerkt habe und ich nun eventuell falsch weiter gebe. Der Lerneffekt ist nicht mehr gewährleistet.</t>
  </si>
  <si>
    <t>5</t>
  </si>
  <si>
    <t>Durch den Newsletter / die Webseite des Kompetenzzentrums Digitale Barrierefreiheit der HdM Stuttgart</t>
  </si>
  <si>
    <t>Da ich bei Schulungen zur Barrierefreiheit selbst barrierefrei arbeiten möchte.</t>
  </si>
  <si>
    <t>16-30 Stunden</t>
  </si>
  <si>
    <t>Sehr qualifizierte Information in deutscher Sprache</t>
  </si>
  <si>
    <t>Musste den Prüfungstermin umverlegen und habe erst kruzfristig vor dem neuen Termin Info bekommen. Vor Ort war alles perfekt.</t>
  </si>
  <si>
    <t>Sorgfältige Vorbereitungsmaterialien, die die Verbesserung der Zugänglichkeit von Lehre und Schulungen befördert.</t>
  </si>
  <si>
    <t>Weiter so engagiert!</t>
  </si>
  <si>
    <t>6</t>
  </si>
  <si>
    <t>Sonstiges</t>
  </si>
  <si>
    <t>durch eine Bekannte, die diesen Test bereits gemacht hat</t>
  </si>
  <si>
    <t>Ich denke, der Knowledge Badge bietet eine gute Motivation, sich intensiver mit den Themen auseinander zusetzen und einen guten Überblick über die Themenfelder.</t>
  </si>
  <si>
    <t>Für mich war Frage 17 verwirrend, da es für mich mehrere Möglichkeiten gab, die Gehörlosen helfen kann. Hier war nicht klar, ob es darum geht, dass gehörlose selbst Inhalte in einem Videosystem erstellen oder aber Videos anschauen/nutzen.</t>
  </si>
  <si>
    <t>Herzlichen Dank für die gute Organisation :)</t>
  </si>
  <si>
    <t>7</t>
  </si>
  <si>
    <t>Ich habe mich als Einzeleprson zur Prüfung angemeldet; Online-Redakteur Crossmedia</t>
  </si>
  <si>
    <t>Ja</t>
  </si>
  <si>
    <t>Durch eine Person, die ebenfalls dieselbe Prüfung absolviert hatte.</t>
  </si>
  <si>
    <t>Um mich beruflich weiter zu bilden, auch um eine neue berufliche Perspektive bekommen zu können.</t>
  </si>
  <si>
    <t>Mehr als 30 Stunden</t>
  </si>
  <si>
    <t>Digitale Barrierefreiheit als ein komplexes, aber wichtiges Themengebiet, sollte schon in der Schule angeboten werden, damit Schulkinder sich damit auseinandersetzen können, für dieses Thema sensibilisiert und aufgeklärt werden, um Vorurteile gegenüber Menschen mit Handicaps abzubauen.</t>
  </si>
  <si>
    <t>8</t>
  </si>
  <si>
    <t>9</t>
  </si>
  <si>
    <t>Ich finde es sehr wichtig, sich damit auseinanderzusetzen, wie ich als Lehrperson (ohne Beeinträchtigung) Studierende mit Beeinträchtigung und ihre Bedürfnisse besser verstehen und darauf eingehen kann. Denn vieles ist ja &amp;quot;nicht böse&amp;quot; (oder diskriminierend) gemeint, sondern entsteht einfach aus der Unwissenheit heraus.</t>
  </si>
  <si>
    <t>Der Lernkurs ist sehr ausführlich, ich hätte mir gewünscht, dass dieser mehr auf das wesentliche reduziert und dadurch auch im zeitlichen Umfang kürzer wird. Zumal sich leider einige Inhalte immer wieder wiederholen...</t>
  </si>
  <si>
    <t>Insgesamt finde ich es super, dass die Möglichkeit besteht das Knowledge Badge zu erhalten und sich mit Menschen, und insbesondere Studierenden, mit Beeinträchtigungen und Behinderungen auseinanderzusetzen.      Dennoch empfand ich den Kurs als zu zeitaufwendig (und die 23+ Stunden entsprachen nicht im Ansatz den erforderlichen, wenn man sich wirklich mit den Inhalten auseinandersetzen und die zahreichen, tollen Videos anschauen möchte). Und ich fände es toll, wenn man, zur vorherigen Überprüfung der eigenen Kenntnisse eine Probeprüfung durchlaufen könnte (vielleicht sogar vor und nach Absolvieren des Kurses).</t>
  </si>
  <si>
    <t>10</t>
  </si>
  <si>
    <t>Business Development for Inclusive programs/services</t>
  </si>
  <si>
    <t>Through my mentor</t>
  </si>
  <si>
    <t>I am branching into the field of Consulting, and I find this knowledge very useful to me</t>
  </si>
  <si>
    <t>11</t>
  </si>
  <si>
    <t>Durch eine Veranstaltung bei ATOS</t>
  </si>
  <si>
    <t>Ich interessiere mich generell an das Thema Barrierefreiheit und versuche ich ebenfalls einen Beitrag zu leisten hinsichtlich Inklusivität. Ich habe vor mich CPAAC noch diese Jahr zu zertifizieren.            Vielen Dank dafür, dass Sie diese tolle Kurz geschafft haben.            Alles Liebe.</t>
  </si>
  <si>
    <t>12</t>
  </si>
  <si>
    <t>Ich wollte mein Wissen auffrischen und nach außen bestätigt haben, dass ich mich mit Barrierefreiheit in der Lehre auskenne.</t>
  </si>
  <si>
    <t>13</t>
  </si>
  <si>
    <t>Durch Kolleg:innen auf der Arbeit</t>
  </si>
  <si>
    <t>Da das Thema eine große gesellschaftliche Relevanz hat und mit den kommenden Jahren weiterhin an Bedeutung gewinnen wird, finde ich es wichtig, sich in diesem Gebiet weiterzubilden.</t>
  </si>
  <si>
    <t>14</t>
  </si>
  <si>
    <t>Durch adesso SE</t>
  </si>
  <si>
    <t>Um mehr Wissen zu erarbeiten.</t>
  </si>
  <si>
    <t>Die Unterlagen sind super ich hatte wenig Zeit zu lernen.</t>
  </si>
  <si>
    <t>15</t>
  </si>
  <si>
    <t>16</t>
  </si>
  <si>
    <t>Um Wissen anzueignen, firmeninterne Vorträge barrierearm zu gestalten.</t>
  </si>
  <si>
    <t>17</t>
  </si>
  <si>
    <t>From a person that organised it in Bydgoszcz.</t>
  </si>
  <si>
    <t>To broaden my expertise and certification.</t>
  </si>
  <si>
    <t>Some of the questions had bad English translations and other had vague answer that could both aplly</t>
  </si>
  <si>
    <t>Eher schwierig</t>
  </si>
  <si>
    <t>Instructions for wifi access for guests could be provided sine it required Atos employee to approve this via email notification,</t>
  </si>
  <si>
    <t>The ADHD question was badly translated.      The question abut sign language students were not precise, we shouldn&amp;#039;t assume that only sign language or close caption is the only thing that could help since both is better.</t>
  </si>
  <si>
    <t>18</t>
  </si>
  <si>
    <t>Arbeitskollege</t>
  </si>
  <si>
    <t>Als Zusatzqualifizierung als Testerin und Beraterin</t>
  </si>
  <si>
    <t>Nachdem die Ersten die Prüfung beendet haben, wurde sehr viel auf den Laptoptastaturen getippt und das hat sehr stark abgelenkt.</t>
  </si>
  <si>
    <t>Eine einzige Frage fand ich komisch: die zu Dateiformaten, die empfohlen werden für die Erstellung barrierefreier Dokumente. Ich fand, dass jede Option einen Begriff enthalten hat, der strenggenommen kein Dateiformat ist. Es kann sein, dass ich mich irre, aber vielleicht können Sie diese Frage trotzdem nochmal überprüfen.</t>
  </si>
  <si>
    <t>19</t>
  </si>
  <si>
    <t>Softwareentwicklung mit Fokus auf barrierefreie Webentwicklung</t>
  </si>
  <si>
    <t>Kollegin (Beatriz Mellidez Gonzalez)</t>
  </si>
  <si>
    <t>Ich bin für die Wissensverteilung im Unternehmen zuständig und trete auf Konferenzen auf. Daher erstelle ich viele Vorträge, Folien etc. und wollte mein Wissen zu Vorträgen, Wissensweitergabe und Nutzung der Tools erweitern.</t>
  </si>
  <si>
    <t>Während der Vorbereitung war die Moodle teilweise schlecht zu erreichen und reagierte extrem langsam. Das hat meinen Lernfluss etwas gestört.</t>
  </si>
  <si>
    <t>20</t>
  </si>
  <si>
    <t>Der Berater meiner Firma hat mir empfohlen, die Prüfung zu machen, weil ich jetzt auch einen neue Arbeitsbereich beginne.</t>
  </si>
  <si>
    <t>Es gab viele unklare Fremdwörter.</t>
  </si>
  <si>
    <t>Viele Fremdwörter, doppelte Verneinungen</t>
  </si>
  <si>
    <t>Fragen und Antworten in einfacherer Sprache wären toll.</t>
  </si>
  <si>
    <t>21</t>
  </si>
  <si>
    <t>Ich arbeite im Bereich des Projektmanagements (Inklusion in der internationalen Zusammenarbeit)</t>
  </si>
  <si>
    <t>Durch meinen Arbeitgeber/ Atos</t>
  </si>
  <si>
    <t>Weil ich perspektivisch gerne in den universitäten/ wissenschaftlichen Bereich gehen möchte und daher den Fokus auf barrierefreie Lehre sehr spannend fand. Weil ich es sehr erfreulich finde, dass es eine Möglichkeit gibt, sich vorhandenes Wissen im Bereich (digitaler) Barrierefreiheit bescheinigen zu lassen.</t>
  </si>
  <si>
    <t>Vielen Dank für den wunderbaren Kurs und die (kostenfreie) Möglichkeit der Bescheinigung von vorhandenem und neu erworbenem Wissen!</t>
  </si>
  <si>
    <t>22</t>
  </si>
  <si>
    <t>Ich arbeite an einem Umschulungszentrum für blinde Erwachsene</t>
  </si>
  <si>
    <t>LinkedIn</t>
  </si>
  <si>
    <t>Ich dachte, dass mein Wissen über Barrierefreiheit im Bereich Blindheit auf andere Einschränkungen übertragen werden kann. Leider bin ich zu unvorbereitet in die Prüfung.</t>
  </si>
  <si>
    <t>Gar nicht</t>
  </si>
  <si>
    <t>Meine Kollegen benötigen ausgebautes Wissen im Bereich Blindheit und passenden Hilfsmitteln und deren individuellen Verwendung. Dieser Kurs und Test ist weitaus umfassender.</t>
  </si>
  <si>
    <t>Durch den Newsletter / die Webseite des Kompetenzzentrums Digitale Barrierefreiheit der HdM Stuttgart   Durch Informationen von IAAP D-A-CH   Durch den Newsletter von BFIT-Bund</t>
  </si>
  <si>
    <t>Das Vermitteln von Lerninhalten und die Entwicklung verschiedener Schulungsmaterialien nimmt in meinem Job einen immer größer werdenden Anteil ein und ich habe mit den Kursen der HdM bzw. IAAP sehr gute Erfahrungen gemacht.</t>
  </si>
  <si>
    <t>Bei einigen Fragen hatte ich den Eindruck, dass mehrere Auswahlmöglichkeit grundsätzlich zutreffend gewesen wären..</t>
  </si>
  <si>
    <t>wissenschaftliche Mitarbeiterin in der Erziehungswissenschaft in einem Projekt mit Fokus auf Barrierefreiheit</t>
  </si>
  <si>
    <t>Kollegin</t>
  </si>
  <si>
    <t>Um bestmöglich im Projekt meiner Forschungsgruppe mitwirken zu können.</t>
  </si>
  <si>
    <t>Toller Lernkurs!</t>
  </si>
  <si>
    <t>als individuelle Weiterbildung      um unsere/meine eigenen Lehr-Angebote zu verbessern      als Zeichen der persönlichen Qualifikation</t>
  </si>
  <si>
    <t>Lernkurs war sehr umfangreich, mit guten Videos, Beispielfragen waren hilfreich</t>
  </si>
  <si>
    <t>Durch den Newsletter / die Webseite des Kompetenzzentrums Digitale Barrierefreiheit der HdM Stuttgart   Durch Informationen von IAAP D-A-CH   Sonstiges</t>
  </si>
  <si>
    <t>LinkedIN</t>
  </si>
  <si>
    <t>weil ich Kollegen und Kunde unterztützte, über Barrierefeiheit und Inklusive Innovation zu lerne.       ich bin auch eine LinkedIN Trainerin</t>
  </si>
  <si>
    <t>die Prüfung war relativ einfach mit der ganze Menge an Lern Stunden im Kurs</t>
  </si>
  <si>
    <t>Manche Fragen waren schwer zu verstehen</t>
  </si>
  <si>
    <t>Sehr leicht</t>
  </si>
  <si>
    <t>de Exam hat ein paar Minuten später angefangen, weil ich musste etwas vorher essen. Das war sehr lieb!</t>
  </si>
  <si>
    <t>wegen der Lern Inhalte und Vorbereitungskurs.</t>
  </si>
  <si>
    <t>Anpassungen haben funktioniert, ich habe die Extra Zeit als Muttersprachlerin/Behindert nicht im Anspruch genommen.             habe schon weitere feedback geteilt. die Audio deskription Kapitel tool funtktioniert nicht mehr seit 2023 und die Eye Able Werbe-Video der Uni Kompetenzzentrum sollte weg.</t>
  </si>
  <si>
    <t>weil ich intern in meiner Kollegen und externe Kunden Beratung und Schulungen zur Barrierefreiheit anbiete.       Um alle IAAP stempeln zu haben!</t>
  </si>
  <si>
    <t>sehr detaliert, gute deutsche externe inhalte, gut für meine Wortschatz und Deutsche Begriffe. habe nicht alle Module Zeitlich geschaft. Eine Priorisierung &amp;quot;must have&amp;quot; für busy Menschen wäre gut, mit optionale Deep dives wenn genug zeit zur vorbereitung.</t>
  </si>
  <si>
    <t>Mansche Fragen hatten verneinug, manche antworten hatten nicht eine alternative nummer/text, manche wörte fand ich verwirrend details unten</t>
  </si>
  <si>
    <t>Vor Ort zu kommen ist eine Barriere für mich gewesen, aber es ist schön Menschen im echt zu sehen. Zur Frage: Kontakt Telefonnumer vorhanden, adresse gut kommuniziert, verständliche informationen, flexibilität mit essen und trinken, nette Kollegen!</t>
  </si>
  <si>
    <t>wegen der Lernkurs, die Vorbereitung auf die Prüfung ist immer wichtiger als die Prüfung selbst. Man lernt immer was neues!. Der vor Ort Prüfung ist für mich/manche Kollegen eine Barriere. Online Proctoring wäre toll.</t>
  </si>
  <si>
    <t>Frage 6- alternative anbieten. ich könnte am Anfang nicht rechnen wie viel 1,x billion sind in x menschen. ich habe danach al fast 1/4 gedacht also 1/x hätte mir evtl. geholfen. Nur B hatte eine text alternative für den Nummer. warum?      8 - steuern= navigieren? wenn ja. Steuern und Struktur haben mich verwirrt.       13. Damit *Lehrende* für Studies einfacher haben es zugänglich zu machen? oder was wäre einfacher für Studis zu nutzen?       16. Auswahl bereich = selection pane? Es gibt auch die Funktion im Windows desktop &amp;quot;Reading order pane&amp;quot;. sonst wenn man einfügt (copy paste) wird die Reinhenfolge beinflusst...</t>
  </si>
  <si>
    <t>Das Angebot war zu gut, um Nein zu sagen. Ich freue mich darauf, dass wir unsere Kompetenzen über die badge nach außen tragen können.</t>
  </si>
  <si>
    <t>Dankeschön für die Möglichkeit, teilzunehmen. Was mir aufgefallen ist, ist dass die Screenshots im Kurs teilweise den Anforderungen widersprechen (Excel keine Zeile leer bleiben, aber in den Screenshots wird es so dargestellt)</t>
  </si>
  <si>
    <t>Durch Informationen von IAAP D-A-CH   Sonstiges</t>
  </si>
  <si>
    <t>Über einen Linkedin Post von IAAP Mitgliedern, die auf die Möglichkeit das Knowledge Badge zu absolvieren aufmerksam gemacht hatten.</t>
  </si>
  <si>
    <t>Weil ich besser über barrierefreie Dokumente und Lernmaterialien informiert sein wollte, habe ich den Lernkurs der HDM Stuttgart absolviert und mich zum Knowledge Badge angemeldet.</t>
  </si>
  <si>
    <t>Die Fragen folgten teils nicht den zuvor im Lernkurs beschriebenen good practices für Multiple Choice Fragen.</t>
  </si>
  <si>
    <t>Um meine Lehr- und Lernangebote kritisch zu überprüfen und mich selbst stärker für Barrierefreiheit bzw. Barrierearmut zu sensibilisieren.</t>
  </si>
  <si>
    <t>Bekannte</t>
  </si>
  <si>
    <t>Auffrischung der Infos</t>
  </si>
  <si>
    <t>Manche Fragen waren nicht ganz eindeutig</t>
  </si>
  <si>
    <t>Durch Mitarbeitende der ZAB Bielefeld</t>
  </si>
  <si>
    <t>Um das Zertifikat im Bereich meiner Forschung zu nutzen</t>
  </si>
  <si>
    <t>LinkedIn Beitrag über das Knowledge Bage von Tollwerk GmbH</t>
  </si>
  <si>
    <t>Da ich unter anderem Schulungen im Bereich der digitalen Barrierefreiheit gebe, möchte ich Schulungsteilnehmenden die Möglichkeit bieten auf barrierefreie Unterlagen und Präsentationen zuzugreifen.</t>
  </si>
  <si>
    <t>Alle Fragen die gestellt wurden, sind in den Unterlagen behandelt worden.</t>
  </si>
  <si>
    <t>IAAP Arbeitskreis von Gottfried.</t>
  </si>
  <si>
    <t>Als Accessibility Specialist im Development und UX Bereich, und selbst Probleme bei Schule und Studium, bin ich ein großer Befürworter, Lehre vielfältiger zu gestalten. Dazu wollte ich lernen, auf was man als Vortragender schauen muss, um dieses zu gewährleisten und mein Wissen auch an Unis anbieten und durchsetzen zu können.</t>
  </si>
  <si>
    <t>Da ich bereits CPACC habe, kam nicht mehr so viel Neues hinzu. Dennoch kann ich bestätigen, dass alle Fragen mit dem im Kurs enthaltenen Informationen beantwortet werden konnten.</t>
  </si>
  <si>
    <t>Teilnehmende waren all pünktlich, die Beisitzende gut organisiert.</t>
  </si>
  <si>
    <t>Um über Barrierefreiheit zu lernen, und solange er noch gratis ist, dann sowieso.</t>
  </si>
  <si>
    <t>Über Joschi</t>
  </si>
  <si>
    <t>Weil das Wissen zum einen durch den Lernkurs gut aufbereitet war und zum anderen als &amp;quot;Lernstufe&amp;quot; zum CPACC</t>
  </si>
  <si>
    <t>Manchnmal gab es wiedersprüche zwischen den einzelnen Einheiten.</t>
  </si>
  <si>
    <t>Manchmal wusste ich nicht genau was abgefragt wurde und konnte daher nicht genau drauf antworten</t>
  </si>
  <si>
    <t>Es war alles gut vorbereitet, die Prüdungsatmosphäre war wohlwollend und die Vorababstimmung lief super</t>
  </si>
  <si>
    <t>Weil es eine Prüfung ist, mit der man sehr schnell sehr viel Wissen bekommt, dass von der Theorie einem in die aktive Umsetzung geleitet. Das Wissen wird gut vermittelt und es ist auch von Vorteil anschließend als Expert bei der IAAP gelistet zu sein.</t>
  </si>
  <si>
    <t>Vielen Dank für die Möglichkeit. Ich hoffe der bestandene Kurs wird irgendwann oblikatorisch, um an einer Hochschule zu unterrichten. Das Wissen was ich hier gewonnen habe ist wertvoll und dafür will ich Danke sagen. Außerdem war das die erste Prüfung, die ich mit Nachteilsausgleich machen konnte und ich habe erst durch den Kurs gelernt, dass mein Studium mit Nachteilsausgleich hätte anders verlaufen können. Die Prüfungsbedingungen hatten demnach auch eine heilende Wirkung auf mich und haben mich glücklich gemacht.</t>
  </si>
  <si>
    <t>Posting auf LinkedIn</t>
  </si>
  <si>
    <t>Wissen erweitern und einen &amp;quot;Beleg&amp;quot; für etwaige Bildungsaufträge/Dozentenaufgaben zu haben.</t>
  </si>
  <si>
    <t>Weil ich zunehmend Schulungen und Workshops zu Grundlagen in den Bereichen Inklusion und Digitale Barrierefreiheit in deutscher Sprache gebe und dieser Kurs sehr gut die notwendigen Inhalte vermittelt.            Zudem ist die Prüfung auch gleichzeitig eine gute Vorbereitung zum CPACC-Exam gewesen.</t>
  </si>
  <si>
    <t>Tolle Location und toller Prüfungsleiter.</t>
  </si>
  <si>
    <t>Idealer Kurs zum Einstieg ist das Thema, nicht nur für Lehrende sondern auch für alle, welche Wissen weiter vermitteln möchten.</t>
  </si>
  <si>
    <t>Es wäre toll, wenn man sehen könnte welche Fragen falsch beantwortet wurden um sich diese Themen nochmals im Nachgang ansehen zu können.</t>
  </si>
  <si>
    <t>LinkedIn Beitrag von Joschi Kuphal</t>
  </si>
  <si>
    <t>Wir führen selbst Workshops und Weiterbildungen durch.</t>
  </si>
  <si>
    <t>Ich hatte das Gefühl, dass UDL ein wichtiger Teil ist, aber die Infos im Kurs waren sehr wenige.</t>
  </si>
  <si>
    <t>Dass serifenlose Schrift die besser lesbare ist, ist nicht allgemeiner konsens. Es gibt dazu Studien, u.a. von Sabina Sieghart.</t>
  </si>
  <si>
    <t>Mein Wissen steigern</t>
  </si>
  <si>
    <t>Manchmal waren Verneinungen dabei z. B. &amp;quot;Was stimmt nicht&amp;quot;, das kann manchmal verwirren</t>
  </si>
  <si>
    <t>Innerhalb des Vorbereitungskurses waren manchmal Informationen doppelt, das war dann unnötig, da es dann natürlich mehr Zeit zum Lernen gebraucht hat. An manchen Stellen war es auch sehr viel Text und dann hat mein Gehirn abgeschalten, das sollte man nochmal unterteilen in kleiner Happen. Modul 4 war sehr Praxisorientiert, was zwar einerseits interessant war, andereseits war es etwas komisch, weil das vorher alles Theorie war.</t>
  </si>
  <si>
    <t>Prüfer</t>
  </si>
  <si>
    <t>Vorbereitung auf weiteres IAAP-Examen (CPACC), Epfehlung durch Prüfer, Wissenserwerb, Barrierefreiheits-Zertifizierung</t>
  </si>
  <si>
    <t>Super, dass der Lernkurs angeboten wurde. Das Moodle war auch vorbildlich eingerichtet und strukturiert. An der ein oder anderen Stellen müssten nochmal Rechtschreibung und Grammatik nachgebessert werden ;-)</t>
  </si>
  <si>
    <t>Aufnahme in die ExpertInnendatenbank, erste offizielle quasi-Zertifizierung, Sensibilisierung</t>
  </si>
  <si>
    <t>Danke!</t>
  </si>
  <si>
    <t>Durch den Newsletter von BFIT-Bund</t>
  </si>
  <si>
    <t>Um mein Wissen um die digitale Barrierefreiheit vor allem im Elearningbereich zu erweitern</t>
  </si>
  <si>
    <t>Ich hätte gern eine Testprüfung im Vorfeld gemacht</t>
  </si>
  <si>
    <t>Aus sportlichem Ehrgeiz, weil ich mit gutem Beispiel vorangehen möchte, weil ich die gewonnenen Erkenntnisse in meine Lehre einbeziehen möchte und weil ich derzeit am Aufbau des EAA-Knowledge-Badges mitwirke und dafür gerne lernen möchte. ;)</t>
  </si>
  <si>
    <t>Tolle Sache, hat Spaß gemacht! :)</t>
  </si>
  <si>
    <t>Empfehlung von einem Kollegen</t>
  </si>
  <si>
    <t>Um mein Wissen zu überprüfen und um etwas zu haben, was mein Wissen nachweist</t>
  </si>
  <si>
    <t>Die Fragen sind so leicht, dass ich etwas unsicher bin, wie aussagekräftig die Bescheinigung ist.</t>
  </si>
  <si>
    <t>Studentische Hilfskraft in einem Projekt für digitale Barrierefreiheit</t>
  </si>
  <si>
    <t>Über Sven Bittenbinder</t>
  </si>
  <si>
    <t>Es ist kostenlos, interessant und nützlich</t>
  </si>
  <si>
    <t>Anzahl</t>
  </si>
  <si>
    <t>-</t>
  </si>
  <si>
    <t>Mehrfachauswahl möglich</t>
  </si>
  <si>
    <t>Kategorie</t>
  </si>
  <si>
    <t>Antworten Sonstiges</t>
  </si>
  <si>
    <t>Kategorien Sonstiges:</t>
  </si>
  <si>
    <t>1) LinkedIn</t>
  </si>
  <si>
    <t>2) Arbeitskolleg:innen, Bekannte</t>
  </si>
  <si>
    <t>3) Arbeitgeber</t>
  </si>
  <si>
    <t>4) Durch eine Person, die bereits das Knowledge Badge absolviert hat</t>
  </si>
  <si>
    <t>5) Durch eine Person, die eine Knowledge Badge Prüfung organsisiert / Standorte</t>
  </si>
  <si>
    <t>Berufliche Qualifikation / Karriere</t>
  </si>
  <si>
    <t>Weiterbildung / Wissenserwerb</t>
  </si>
  <si>
    <t>Verbesserung der eigenen Lehre / Arbeit</t>
  </si>
  <si>
    <t>Motivation durch externe Faktoren</t>
  </si>
  <si>
    <t>Gesellschaftliche / ethische Motivation</t>
  </si>
  <si>
    <t>Vorbereitung auf andere Prüfungen / Zertifikate</t>
  </si>
  <si>
    <t>Sonstige</t>
  </si>
  <si>
    <t>ID</t>
  </si>
  <si>
    <t>1.1 Da es immer gut ist, sein Wissen auch belegen zu können.</t>
  </si>
  <si>
    <t>1.2 Da mein Arbeitgeber mich dazu augefordert hat.</t>
  </si>
  <si>
    <t>1.3 Da die Prüfung und der Vorbereitungskurs kostenlos waren.</t>
  </si>
  <si>
    <t>(Alle)</t>
  </si>
  <si>
    <t>Vorbereitung (h)</t>
  </si>
  <si>
    <t>Durch den Lernkurs fühlte ich mich gut auf die Prüfung vorbereitet</t>
  </si>
  <si>
    <t>Lernkurs</t>
  </si>
  <si>
    <t>Ich fühlte ich mich gut auf die Prüfung vorbereitet</t>
  </si>
  <si>
    <t>Aussagen</t>
  </si>
  <si>
    <t>(Leer)</t>
  </si>
  <si>
    <t>Anzahl von 6) Wie lange haben Sie sich mittels des Lernkurses „Knowledge Badge“ auf die Prüfung vorbereitet?</t>
  </si>
  <si>
    <t>Die Fragen waren verständlich formuliert</t>
  </si>
  <si>
    <t>Anzahl von 9) Die Fragen waren insgesamt ...</t>
  </si>
  <si>
    <t>Anzahl von 10) Es bestand ausreichend Zeit, die Fragen zu beantworten</t>
  </si>
  <si>
    <t>Vergleich nach Prüfungsrunden</t>
  </si>
  <si>
    <t>Anzahl von 8) Die Fragen waren verständlich formuliert</t>
  </si>
  <si>
    <t>Anzahl von 11) Die Prüfung vor Ort war gut organisiert und verlief reibungslos</t>
  </si>
  <si>
    <t>Anzahl von 12) Ich würde den Erwerb des Knowledge Badge „Barrierefrei lehren“ meinen Kolleginnen und Kollegen weiterempfehlen</t>
  </si>
  <si>
    <t>Anzahl von 13) Möchten Sie uns noch etwas mitteilen?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</si>
</sst>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indexed="64"/>
      <name val="Calibri"/>
    </font>
    <font>
      <b/>
      <sz val="12"/>
      <color indexed="64"/>
      <name val="Calibri"/>
    </font>
    <font>
      <b/>
      <sz val="13.5"/>
      <color indexed="64"/>
      <name val="Calibri"/>
    </font>
  </fonts>
  <fills count="12">
    <fill>
      <patternFill patternType="none"/>
    </fill>
    <fill>
      <patternFill patternType="gray125"/>
    </fill>
    <fill>
      <patternFill patternType="solid">
        <fgColor indexed="5"/>
      </patternFill>
    </fill>
    <fill>
      <patternFill patternType="solid">
        <fgColor rgb="FFFFC000"/>
      </patternFill>
    </fill>
    <fill>
      <patternFill patternType="solid">
        <fgColor rgb="FFC00000"/>
      </patternFill>
    </fill>
    <fill>
      <patternFill patternType="solid">
        <fgColor theme="1" tint="0.499984740745262"/>
        <bgColor indexed="65"/>
      </patternFill>
    </fill>
    <fill>
      <patternFill patternType="solid">
        <fgColor theme="4" tint="0.79998168889431442"/>
        <bgColor indexed="65"/>
      </patternFill>
    </fill>
    <fill>
      <patternFill patternType="solid">
        <fgColor theme="5" tint="0.39997558519241921"/>
        <bgColor indexed="65"/>
      </patternFill>
    </fill>
    <fill>
      <patternFill patternType="solid">
        <fgColor theme="9" tint="0.59999389629810485"/>
        <bgColor indexed="65"/>
      </patternFill>
    </fill>
    <fill>
      <patternFill patternType="solid">
        <fgColor theme="7" tint="0.59999389629810485"/>
        <bgColor indexed="65"/>
      </patternFill>
    </fill>
    <fill>
      <patternFill patternType="solid">
        <fgColor theme="6" tint="0.59999389629810485"/>
        <bgColor indexed="65"/>
      </patternFill>
    </fill>
    <fill>
      <patternFill patternType="solid">
        <fgColor theme="8" tint="0.39997558519241921"/>
        <bgColor indexed="65"/>
      </patternFill>
    </fill>
  </fills>
  <borders count="1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7">
    <xf numFmtId="0" fontId="0" fillId="0" borderId="0" xfId="0"/>
    <xf numFmtId="0" fontId="0" fillId="0" borderId="0" xfId="0" applyAlignment="1">
      <alignment horizontal="left"/>
    </xf>
    <xf numFmtId="0" fontId="1" fillId="0" borderId="0" xfId="0" applyFont="1" applyAlignment="1">
      <alignment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2" xfId="0" applyFont="1" applyBorder="1" applyAlignment="1">
      <alignment wrapText="1"/>
    </xf>
    <xf numFmtId="0" fontId="1" fillId="0" borderId="3" xfId="0" applyFont="1" applyBorder="1" applyAlignment="1">
      <alignment wrapText="1"/>
    </xf>
    <xf numFmtId="0" fontId="0" fillId="2" borderId="4" xfId="0" applyFill="1" applyBorder="1" applyAlignment="1">
      <alignment horizontal="left"/>
    </xf>
    <xf numFmtId="0" fontId="0" fillId="0" borderId="0" xfId="0" applyAlignment="1">
      <alignment horizontal="right"/>
    </xf>
    <xf numFmtId="0" fontId="0" fillId="0" borderId="0" xfId="0"/>
    <xf numFmtId="0" fontId="0" fillId="0" borderId="5" xfId="0" applyBorder="1"/>
    <xf numFmtId="0" fontId="0" fillId="3" borderId="4" xfId="0" applyFill="1" applyBorder="1" applyAlignment="1">
      <alignment horizontal="left"/>
    </xf>
    <xf numFmtId="0" fontId="0" fillId="4" borderId="4" xfId="0" applyFill="1" applyBorder="1" applyAlignment="1">
      <alignment horizontal="left"/>
    </xf>
    <xf numFmtId="0" fontId="0" fillId="0" borderId="4" xfId="0" applyBorder="1" applyAlignment="1">
      <alignment horizontal="left"/>
    </xf>
    <xf numFmtId="0" fontId="1" fillId="0" borderId="0" xfId="0" applyFont="1"/>
    <xf numFmtId="0" fontId="1" fillId="0" borderId="6" xfId="0" applyFont="1" applyBorder="1" applyAlignment="1">
      <alignment horizontal="left"/>
    </xf>
    <xf numFmtId="0" fontId="1" fillId="0" borderId="7" xfId="0" applyFont="1" applyBorder="1" applyAlignment="1">
      <alignment horizontal="left"/>
    </xf>
    <xf numFmtId="0" fontId="1" fillId="0" borderId="7" xfId="0" applyFont="1" applyBorder="1" applyAlignment="1">
      <alignment horizontal="right"/>
    </xf>
    <xf numFmtId="0" fontId="1" fillId="0" borderId="7" xfId="0" applyFont="1" applyBorder="1"/>
    <xf numFmtId="0" fontId="1" fillId="0" borderId="8" xfId="0" applyFont="1" applyBorder="1"/>
    <xf numFmtId="0" fontId="0" fillId="0" borderId="0" xfId="0" pivotButton="1"/>
    <xf numFmtId="0" fontId="1" fillId="0" borderId="9" xfId="0" applyFont="1" applyBorder="1"/>
    <xf numFmtId="0" fontId="1" fillId="0" borderId="10" xfId="0" applyFont="1" applyBorder="1"/>
    <xf numFmtId="0" fontId="1" fillId="2" borderId="10" xfId="0" applyFont="1" applyFill="1" applyBorder="1"/>
    <xf numFmtId="0" fontId="1" fillId="3" borderId="10" xfId="0" applyFont="1" applyFill="1" applyBorder="1"/>
    <xf numFmtId="0" fontId="1" fillId="4" borderId="11" xfId="0" applyFont="1" applyFill="1" applyBorder="1"/>
    <xf numFmtId="0" fontId="1" fillId="0" borderId="4" xfId="0" applyFont="1" applyBorder="1"/>
    <xf numFmtId="0" fontId="1" fillId="0" borderId="0" xfId="0" applyFont="1" applyAlignment="1">
      <alignment horizontal="right"/>
    </xf>
    <xf numFmtId="0" fontId="1" fillId="0" borderId="5" xfId="0" applyFont="1" applyBorder="1"/>
    <xf numFmtId="0" fontId="0" fillId="0" borderId="4" xfId="0" applyBorder="1"/>
    <xf numFmtId="0" fontId="1" fillId="0" borderId="1" xfId="0" applyFont="1" applyBorder="1"/>
    <xf numFmtId="0" fontId="1" fillId="0" borderId="2" xfId="0" applyFont="1" applyBorder="1" applyAlignment="1">
      <alignment horizontal="right"/>
    </xf>
    <xf numFmtId="0" fontId="1" fillId="0" borderId="2" xfId="0" applyFont="1" applyBorder="1"/>
    <xf numFmtId="0" fontId="1" fillId="0" borderId="3" xfId="0" applyFont="1" applyBorder="1"/>
    <xf numFmtId="0" fontId="1" fillId="0" borderId="12" xfId="0" applyFont="1" applyBorder="1"/>
    <xf numFmtId="0" fontId="0" fillId="0" borderId="13" xfId="0" applyBorder="1"/>
    <xf numFmtId="0" fontId="1" fillId="0" borderId="13" xfId="0" applyFont="1" applyBorder="1"/>
    <xf numFmtId="0" fontId="1" fillId="0" borderId="14" xfId="0" applyFont="1" applyBorder="1"/>
    <xf numFmtId="0" fontId="0" fillId="0" borderId="0" xfId="0" applyAlignment="1">
      <alignment horizontal="left" vertical="center"/>
    </xf>
    <xf numFmtId="0" fontId="0" fillId="5" borderId="0" xfId="0" applyFill="1"/>
    <xf numFmtId="0" fontId="0" fillId="5" borderId="0" xfId="0" applyFill="1" applyAlignment="1">
      <alignment horizontal="left" vertical="center"/>
    </xf>
    <xf numFmtId="0" fontId="0" fillId="4" borderId="0" xfId="0" applyFill="1" applyAlignment="1">
      <alignment horizontal="left" vertical="center"/>
    </xf>
    <xf numFmtId="0" fontId="0" fillId="3" borderId="0" xfId="0" applyFill="1" applyAlignment="1">
      <alignment horizontal="left" vertical="center"/>
    </xf>
    <xf numFmtId="0" fontId="0" fillId="2" borderId="0" xfId="0" applyFill="1" applyAlignment="1">
      <alignment horizontal="left" vertical="center"/>
    </xf>
    <xf numFmtId="0" fontId="0" fillId="0" borderId="0" xfId="0" applyAlignment="1">
      <alignment horizontal="left" indent="1"/>
    </xf>
    <xf numFmtId="0" fontId="1" fillId="6" borderId="0" xfId="0" applyFont="1"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1" fillId="0" borderId="0" xfId="0" applyFont="1" applyAlignment="1">
      <alignment horizontal="left"/>
    </xf>
    <xf numFmtId="0" fontId="0" fillId="11" borderId="0" xfId="0" applyFill="1" applyAlignment="1">
      <alignment horizontal="left"/>
    </xf>
    <xf numFmtId="0" fontId="0" fillId="0" borderId="0" xfId="0" applyAlignment="1">
      <alignment wrapText="1"/>
    </xf>
    <xf numFmtId="0" fontId="0" fillId="0" borderId="0" xfId="0" pivotButton="1" applyAlignment="1">
      <alignment wrapText="1"/>
    </xf>
    <xf numFmtId="0" fontId="0" fillId="0" borderId="0" xfId="0" applyAlignment="1">
      <alignment horizontal="left" wrapText="1"/>
    </xf>
    <xf numFmtId="0" fontId="2" fillId="0" borderId="0" xfId="0" applyFont="1" applyAlignment="1">
      <alignment vertical="center"/>
    </xf>
  </cellXfs>
  <cellStyles count="1">
    <cellStyle name="Standard" xfId="0" builtinId="0"/>
  </cellStyles>
  <dxfs count="42">
    <dxf>
      <font>
        <b/>
      </font>
    </dxf>
    <dxf>
      <font>
        <b/>
      </font>
    </dxf>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alignment vertical="bottom" textRotation="0" wrapText="1" relativeIndent="0" shrinkToFit="0"/>
    </dxf>
    <dxf>
      <fill>
        <patternFill patternType="solid">
          <fgColor indexed="5"/>
          <bgColor indexed="5"/>
        </patternFill>
      </fill>
      <alignment horizontal="left" vertical="center" textRotation="0" wrapText="0" relativeIndent="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nlyoffice.com/jsaProject" Target="jsaProject.bin"/><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Eppler" refreshedDate="45953.512405671296" createdVersion="7" refreshedVersion="7" minRefreshableVersion="3" recordCount="45" xr:uid="{00000000-000A-0000-FFFF-FFFF00000000}">
  <cacheSource type="worksheet">
    <worksheetSource name="FeedbackTable"/>
  </cacheSource>
  <cacheFields count="21">
    <cacheField name="Runde" numFmtId="0">
      <sharedItems containsSemiMixedTypes="0" containsString="0" containsNumber="1" containsInteger="1" minValue="1" maxValue="3" count="3">
        <n v="3"/>
        <n v="2"/>
        <n v="1"/>
      </sharedItems>
    </cacheField>
    <cacheField name="Antwort Nr." numFmtId="0">
      <sharedItems/>
    </cacheField>
    <cacheField name="1) Beruflicher Hintergrund" numFmtId="0">
      <sharedItems count="3">
        <s v="Ich bin lehrende Person an einer Hochschule/Universität"/>
        <s v="Ich arbeite im Bereich Digitale Barrierefreiheit"/>
        <s v="Sonstiges"/>
      </sharedItems>
    </cacheField>
    <cacheField name="Wenn Sie &quot;Sonstiges&quot; ausgewählt haben, tragen Sie bitte Ihren beruflichen Hintergrund ein:" numFmtId="0">
      <sharedItems containsBlank="1" count="8">
        <m/>
        <s v="Ich habe mich als Einzeleprson zur Prüfung angemeldet; Online-Redakteur Crossmedia"/>
        <s v="Business Development for Inclusive programs/services"/>
        <s v="Softwareentwicklung mit Fokus auf barrierefreie Webentwicklung"/>
        <s v="Ich arbeite im Bereich des Projektmanagements (Inklusion in der internationalen Zusammenarbeit)"/>
        <s v="Ich arbeite an einem Umschulungszentrum für blinde Erwachsene"/>
        <s v="wissenschaftliche Mitarbeiterin in der Erziehungswissenschaft in einem Projekt mit Fokus auf Barrierefreiheit"/>
        <s v="Studentische Hilfskraft in einem Projekt für digitale Barrierefreiheit"/>
      </sharedItems>
    </cacheField>
    <cacheField name="2) Wo haben Sie an der Prüfung teilgenommen?" numFmtId="0">
      <sharedItems count="9">
        <s v="Hochschule der Medien Stuttgart"/>
        <s v="Atos Köln"/>
        <s v="HFC Human-Factors-Consult Berlin"/>
        <s v="Universität Siegen"/>
        <s v="Johannes Kepler Universität Linz"/>
        <s v="Technische Universität Chemnitz"/>
        <s v="Atos Bydgoszcz (Polen)"/>
        <s v="tollwerk Nürnberg"/>
        <s v="Universität Bielefeld"/>
      </sharedItems>
    </cacheField>
    <cacheField name="3) Haben Sie einen Nachteilsausgleich in Anspruch genommen?" numFmtId="0">
      <sharedItems containsBlank="1"/>
    </cacheField>
    <cacheField name="4) Wie sind Sie auf die Prüfung zum Knowledge Badge „Barrierefrei lehren“ aufmerksam geworden?" numFmtId="0">
      <sharedItems count="8">
        <s v="Durch Informationen von IAAP D-A-CH"/>
        <s v="Durch den Newsletter / die Webseite des Kompetenzzentrums Digitale Barrierefreiheit der HdM Stuttgart   Durch Informationen von IAAP D-A-CH"/>
        <s v="Durch den Newsletter / die Webseite des Kompetenzzentrums Digitale Barrierefreiheit der HdM Stuttgart"/>
        <s v="Sonstiges"/>
        <s v="Durch den Newsletter / die Webseite des Kompetenzzentrums Digitale Barrierefreiheit der HdM Stuttgart   Durch Informationen von IAAP D-A-CH   Durch den Newsletter von BFIT-Bund"/>
        <s v="Durch den Newsletter / die Webseite des Kompetenzzentrums Digitale Barrierefreiheit der HdM Stuttgart   Durch Informationen von IAAP D-A-CH   Sonstiges"/>
        <s v="Durch Informationen von IAAP D-A-CH   Sonstiges"/>
        <s v="Durch den Newsletter von BFIT-Bund"/>
      </sharedItems>
    </cacheField>
    <cacheField name="Wenn Sie &quot;Sonstiges&quot; ausgewählt haben, tragen Sie bitte ein, wie Sie auf die Prüfung aufmerksam geworden sind:" numFmtId="0">
      <sharedItems containsBlank="1" count="24">
        <m/>
        <s v="durch eine Bekannte, die diesen Test bereits gemacht hat"/>
        <s v="Durch eine Person, die ebenfalls dieselbe Prüfung absolviert hatte."/>
        <s v="Through my mentor"/>
        <s v="Durch eine Veranstaltung bei ATOS"/>
        <s v="Durch Kolleg:innen auf der Arbeit"/>
        <s v="Durch adesso SE"/>
        <s v="From a person that organised it in Bydgoszcz."/>
        <s v="Arbeitskollege"/>
        <s v="Kollegin (Beatriz Mellidez Gonzalez)"/>
        <s v="Durch meinen Arbeitgeber/ Atos"/>
        <s v="LinkedIn"/>
        <s v="Kollegin"/>
        <s v="Über einen Linkedin Post von IAAP Mitgliedern, die auf die Möglichkeit das Knowledge Badge zu absolvieren aufmerksam gemacht hatten."/>
        <s v="Bekannte"/>
        <s v="Durch Mitarbeitende der ZAB Bielefeld"/>
        <s v="LinkedIn Beitrag über das Knowledge Bage von Tollwerk GmbH"/>
        <s v="IAAP Arbeitskreis von Gottfried."/>
        <s v="Über Joschi"/>
        <s v="Posting auf LinkedIn"/>
        <s v="LinkedIn Beitrag von Joschi Kuphal"/>
        <s v="Prüfer"/>
        <s v="Empfehlung von einem Kollegen"/>
        <s v="Über Sven Bittenbinder"/>
      </sharedItems>
    </cacheField>
    <cacheField name="5) Warum haben Sie sich entschieden, die Prüfung zum Knowledge Badge „Barrierefrei lehren“ abzulegen?" numFmtId="0">
      <sharedItems containsBlank="1" longText="1"/>
    </cacheField>
    <cacheField name="6) Wie lange haben Sie sich mittels des Lernkurses „Knowledge Badge“ auf die Prüfung vorbereitet?" numFmtId="0">
      <sharedItems count="5">
        <s v="6-15 Stunden"/>
        <s v="1-5 Stunden"/>
        <s v="16-30 Stunden"/>
        <s v="Mehr als 30 Stunden"/>
        <s v="Gar nicht"/>
      </sharedItems>
    </cacheField>
    <cacheField name="7) Durch den Lernkurs fühlte ich mich gut auf die Prüfung vorbereitet (nur ausfüllen, wenn Sie den Lernkurs als Vorbereitung verwendet haben)" numFmtId="0">
      <sharedItems count="4">
        <s v="Stimme voll zu"/>
        <s v="Stimme eher nicht zu"/>
        <s v="Stimme eher zu"/>
        <s v="Unentschieden"/>
      </sharedItems>
    </cacheField>
    <cacheField name="Warum? (optional)" numFmtId="0">
      <sharedItems containsBlank="1" count="15" longText="1">
        <m/>
        <s v="Der Kurs ist gut konzipiert und hat gute Beispiele."/>
        <s v="Die Wordings waren in der Prüfung nicht die gleichen, wie im Lernkurs. Das war zu verwirrend und hat mich aus dem Konzept gebracht, bzw. zweifeln lassen."/>
        <s v="Sehr qualifizierte Information in deutscher Sprache"/>
        <s v="Der Lernkurs ist sehr ausführlich, ich hätte mir gewünscht, dass dieser mehr auf das wesentliche reduziert und dadurch auch im zeitlichen Umfang kürzer wird. Zumal sich leider einige Inhalte immer wieder wiederholen..."/>
        <s v="Die Unterlagen sind super ich hatte wenig Zeit zu lernen."/>
        <s v="Es gab viele unklare Fremdwörter."/>
        <s v="Lernkurs war sehr umfangreich, mit guten Videos, Beispielfragen waren hilfreich"/>
        <s v="die Prüfung war relativ einfach mit der ganze Menge an Lern Stunden im Kurs"/>
        <s v="sehr detaliert, gute deutsche externe inhalte, gut für meine Wortschatz und Deutsche Begriffe. habe nicht alle Module Zeitlich geschaft. Eine Priorisierung &amp;quot;must have&amp;quot; für busy Menschen wäre gut, mit optionale Deep dives wenn genug zeit zur vorbereitung."/>
        <s v="Alle Fragen die gestellt wurden, sind in den Unterlagen behandelt worden."/>
        <s v="Da ich bereits CPACC habe, kam nicht mehr so viel Neues hinzu. Dennoch kann ich bestätigen, dass alle Fragen mit dem im Kurs enthaltenen Informationen beantwortet werden konnten."/>
        <s v="Manchnmal gab es wiedersprüche zwischen den einzelnen Einheiten."/>
        <s v="Ich hatte das Gefühl, dass UDL ein wichtiger Teil ist, aber die Infos im Kurs waren sehr wenige."/>
        <s v="Ich hätte gern eine Testprüfung im Vorfeld gemacht"/>
      </sharedItems>
    </cacheField>
    <cacheField name="8) Die Fragen waren verständlich formuliert" numFmtId="0">
      <sharedItems count="4">
        <s v="Stimme voll zu"/>
        <s v="Stimme eher zu"/>
        <s v="Unentschieden"/>
        <s v="Stimme eher nicht zu"/>
      </sharedItems>
    </cacheField>
    <cacheField name="Warum? (optional)2" numFmtId="0">
      <sharedItems containsBlank="1" count="13">
        <m/>
        <s v="Mitunter war der Kontext der Frage und deren Antworten nicht klar genug"/>
        <s v="Die meisten Fragen waren gut formuliert, einige Antworten jedoch waren über das normale Maß hinaus zwiespältig bzw. ungenau formuliert."/>
        <s v="Für mich war Frage 17 verwirrend, da es für mich mehrere Möglichkeiten gab, die Gehörlosen helfen kann. Hier war nicht klar, ob es darum geht, dass gehörlose selbst Inhalte in einem Videosystem erstellen oder aber Videos anschauen/nutzen."/>
        <s v="Some of the questions had bad English translations and other had vague answer that could both aplly"/>
        <s v="Viele Fremdwörter, doppelte Verneinungen"/>
        <s v="Bei einigen Fragen hatte ich den Eindruck, dass mehrere Auswahlmöglichkeit grundsätzlich zutreffend gewesen wären.."/>
        <s v="Manche Fragen waren schwer zu verstehen"/>
        <s v="Mansche Fragen hatten verneinug, manche antworten hatten nicht eine alternative nummer/text, manche wörte fand ich verwirrend details unten"/>
        <s v="Die Fragen folgten teils nicht den zuvor im Lernkurs beschriebenen good practices für Multiple Choice Fragen."/>
        <s v="Manche Fragen waren nicht ganz eindeutig"/>
        <s v="Manchmal wusste ich nicht genau was abgefragt wurde und konnte daher nicht genau drauf antworten"/>
        <s v="Manchmal waren Verneinungen dabei z. B. &amp;quot;Was stimmt nicht&amp;quot;, das kann manchmal verwirren"/>
      </sharedItems>
    </cacheField>
    <cacheField name="9) Die Fragen waren insgesamt ..." numFmtId="0">
      <sharedItems count="4">
        <s v="Eher leicht"/>
        <s v="Durchschnittlich"/>
        <s v="Eher schwierig"/>
        <s v="Sehr leicht"/>
      </sharedItems>
    </cacheField>
    <cacheField name="10) Es bestand ausreichend Zeit, die Fragen zu beantworten" numFmtId="0">
      <sharedItems count="2">
        <s v="Stimme voll zu"/>
        <s v="Stimme eher zu"/>
      </sharedItems>
    </cacheField>
    <cacheField name="11) Die Prüfung vor Ort war gut organisiert und verlief reibungslos" numFmtId="0">
      <sharedItems count="3">
        <s v="Stimme voll zu"/>
        <s v="Stimme eher zu"/>
        <s v="Unentschieden"/>
      </sharedItems>
    </cacheField>
    <cacheField name="Warum? (optional)3" numFmtId="0">
      <sharedItems containsBlank="1" count="10">
        <m/>
        <s v="Es war chaotisch und z. B. gab es zuerst kein zuverlässiges WLAN."/>
        <s v="Musste den Prüfungstermin umverlegen und habe erst kruzfristig vor dem neuen Termin Info bekommen. Vor Ort war alles perfekt."/>
        <s v="Instructions for wifi access for guests could be provided sine it required Atos employee to approve this via email notification,"/>
        <s v="Nachdem die Ersten die Prüfung beendet haben, wurde sehr viel auf den Laptoptastaturen getippt und das hat sehr stark abgelenkt."/>
        <s v="de Exam hat ein paar Minuten später angefangen, weil ich musste etwas vorher essen. Das war sehr lieb!"/>
        <s v="Vor Ort zu kommen ist eine Barriere für mich gewesen, aber es ist schön Menschen im echt zu sehen. Zur Frage: Kontakt Telefonnumer vorhanden, adresse gut kommuniziert, verständliche informationen, flexibilität mit essen und trinken, nette Kollegen!"/>
        <s v="Teilnehmende waren all pünktlich, die Beisitzende gut organisiert."/>
        <s v="Es war alles gut vorbereitet, die Prüdungsatmosphäre war wohlwollend und die Vorababstimmung lief super"/>
        <s v="Tolle Location und toller Prüfungsleiter."/>
      </sharedItems>
    </cacheField>
    <cacheField name="12) Ich würde den Erwerb des Knowledge Badge „Barrierefrei lehren“ meinen Kolleginnen und Kollegen weiterempfehlen" numFmtId="0">
      <sharedItems count="4">
        <s v="Stimme voll zu"/>
        <s v="Unentschieden"/>
        <s v="Stimme eher zu"/>
        <s v="Stimme eher nicht zu"/>
      </sharedItems>
    </cacheField>
    <cacheField name="Warum? (optional)4" numFmtId="0">
      <sharedItems containsBlank="1" count="9">
        <m/>
        <s v="Sorgfältige Vorbereitungsmaterialien, die die Verbesserung der Zugänglichkeit von Lehre und Schulungen befördert."/>
        <s v="Meine Kollegen benötigen ausgebautes Wissen im Bereich Blindheit und passenden Hilfsmitteln und deren individuellen Verwendung. Dieser Kurs und Test ist weitaus umfassender."/>
        <s v="wegen der Lern Inhalte und Vorbereitungskurs."/>
        <s v="wegen der Lernkurs, die Vorbereitung auf die Prüfung ist immer wichtiger als die Prüfung selbst. Man lernt immer was neues!. Der vor Ort Prüfung ist für mich/manche Kollegen eine Barriere. Online Proctoring wäre toll."/>
        <s v="Um über Barrierefreiheit zu lernen, und solange er noch gratis ist, dann sowieso."/>
        <s v="Weil es eine Prüfung ist, mit der man sehr schnell sehr viel Wissen bekommt, dass von der Theorie einem in die aktive Umsetzung geleitet. Das Wissen wird gut vermittelt und es ist auch von Vorteil anschließend als Expert bei der IAAP gelistet zu sein."/>
        <s v="Idealer Kurs zum Einstieg ist das Thema, nicht nur für Lehrende sondern auch für alle, welche Wissen weiter vermitteln möchten."/>
        <s v="Die Fragen sind so leicht, dass ich etwas unsicher bin, wie aussagekräftig die Bescheinigung ist."/>
      </sharedItems>
    </cacheField>
    <cacheField name="13) Möchten Sie uns noch etwas mitteilen?" numFmtId="0">
      <sharedItems containsBlank="1" count="22" longText="1">
        <m/>
        <s v="Ich würde am Ende gern wissen, welche Fragen ich falsch beantwortet habe und die korrekten Antworten erhalten. So weiß ich nicht, welche Informationen ich mir falsch gemerkt habe und ich nun eventuell falsch weiter gebe. Der Lerneffekt ist nicht mehr gewährleistet."/>
        <s v="Weiter so engagiert!"/>
        <s v="Herzlichen Dank für die gute Organisation :)"/>
        <s v="Digitale Barrierefreiheit als ein komplexes, aber wichtiges Themengebiet, sollte schon in der Schule angeboten werden, damit Schulkinder sich damit auseinandersetzen können, für dieses Thema sensibilisiert und aufgeklärt werden, um Vorurteile gegenüber Menschen mit Handicaps abzubauen."/>
        <s v="Insgesamt finde ich es super, dass die Möglichkeit besteht das Knowledge Badge zu erhalten und sich mit Menschen, und insbesondere Studierenden, mit Beeinträchtigungen und Behinderungen auseinanderzusetzen.      Dennoch empfand ich den Kurs als zu zeitaufwendig (und die 23+ Stunden entsprachen nicht im Ansatz den erforderlichen, wenn man sich wirklich mit den Inhalten auseinandersetzen und die zahreichen, tollen Videos anschauen möchte). Und ich fände es toll, wenn man, zur vorherigen Überprüfung der eigenen Kenntnisse eine Probeprüfung durchlaufen könnte (vielleicht sogar vor und nach Absolvieren des Kurses)."/>
        <s v="The ADHD question was badly translated.      The question abut sign language students were not precise, we shouldn&amp;#039;t assume that only sign language or close caption is the only thing that could help since both is better."/>
        <s v="Eine einzige Frage fand ich komisch: die zu Dateiformaten, die empfohlen werden für die Erstellung barrierefreier Dokumente. Ich fand, dass jede Option einen Begriff enthalten hat, der strenggenommen kein Dateiformat ist. Es kann sein, dass ich mich irre, aber vielleicht können Sie diese Frage trotzdem nochmal überprüfen."/>
        <s v="Während der Vorbereitung war die Moodle teilweise schlecht zu erreichen und reagierte extrem langsam. Das hat meinen Lernfluss etwas gestört."/>
        <s v="Fragen und Antworten in einfacherer Sprache wären toll."/>
        <s v="Vielen Dank für den wunderbaren Kurs und die (kostenfreie) Möglichkeit der Bescheinigung von vorhandenem und neu erworbenem Wissen!"/>
        <s v="Toller Lernkurs!"/>
        <s v="Anpassungen haben funktioniert, ich habe die Extra Zeit als Muttersprachlerin/Behindert nicht im Anspruch genommen.             habe schon weitere feedback geteilt. die Audio deskription Kapitel tool funtktioniert nicht mehr seit 2023 und die Eye Able Werbe-Video der Uni Kompetenzzentrum sollte weg."/>
        <s v="Frage 6- alternative anbieten. ich könnte am Anfang nicht rechnen wie viel 1,x billion sind in x menschen. ich habe danach al fast 1/4 gedacht also 1/x hätte mir evtl. geholfen. Nur B hatte eine text alternative für den Nummer. warum?      8 - steuern= navigieren? wenn ja. Steuern und Struktur haben mich verwirrt.       13. Damit *Lehrende* für Studies einfacher haben es zugänglich zu machen? oder was wäre einfacher für Studis zu nutzen?       16. Auswahl bereich = selection pane? Es gibt auch die Funktion im Windows desktop &amp;quot;Reading order pane&amp;quot;. sonst wenn man einfügt (copy paste) wird die Reinhenfolge beinflusst..."/>
        <s v="Dankeschön für die Möglichkeit, teilzunehmen. Was mir aufgefallen ist, ist dass die Screenshots im Kurs teilweise den Anforderungen widersprechen (Excel keine Zeile leer bleiben, aber in den Screenshots wird es so dargestellt)"/>
        <s v="Vielen Dank für die Möglichkeit. Ich hoffe der bestandene Kurs wird irgendwann oblikatorisch, um an einer Hochschule zu unterrichten. Das Wissen was ich hier gewonnen habe ist wertvoll und dafür will ich Danke sagen. Außerdem war das die erste Prüfung, die ich mit Nachteilsausgleich machen konnte und ich habe erst durch den Kurs gelernt, dass mein Studium mit Nachteilsausgleich hätte anders verlaufen können. Die Prüfungsbedingungen hatten demnach auch eine heilende Wirkung auf mich und haben mich glücklich gemacht."/>
        <s v="Es wäre toll, wenn man sehen könnte welche Fragen falsch beantwortet wurden um sich diese Themen nochmals im Nachgang ansehen zu können."/>
        <s v="Dass serifenlose Schrift die besser lesbare ist, ist nicht allgemeiner konsens. Es gibt dazu Studien, u.a. von Sabina Sieghart."/>
        <s v="Innerhalb des Vorbereitungskurses waren manchmal Informationen doppelt, das war dann unnötig, da es dann natürlich mehr Zeit zum Lernen gebraucht hat. An manchen Stellen war es auch sehr viel Text und dann hat mein Gehirn abgeschalten, das sollte man nochmal unterteilen in kleiner Happen. Modul 4 war sehr Praxisorientiert, was zwar einerseits interessant war, andereseits war es etwas komisch, weil das vorher alles Theorie war."/>
        <s v="Super, dass der Lernkurs angeboten wurde. Das Moodle war auch vorbildlich eingerichtet und strukturiert. An der ein oder anderen Stellen müssten nochmal Rechtschreibung und Grammatik nachgebessert werden ;-)"/>
        <s v="Danke!"/>
        <s v="Tolle Sache, hat Spaß gemacht!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
  <r>
    <x v="0"/>
    <s v="1"/>
    <x v="0"/>
    <x v="0"/>
    <x v="0"/>
    <s v="Nein"/>
    <x v="0"/>
    <x v="0"/>
    <s v="Sichtbarmachung der Kompetenz für meine freiberufliche Tätigkeit."/>
    <x v="0"/>
    <x v="0"/>
    <x v="0"/>
    <x v="0"/>
    <x v="0"/>
    <x v="0"/>
    <x v="0"/>
    <x v="0"/>
    <x v="0"/>
    <x v="0"/>
    <x v="0"/>
    <x v="0"/>
  </r>
  <r>
    <x v="0"/>
    <s v="2"/>
    <x v="1"/>
    <x v="0"/>
    <x v="1"/>
    <s v="Nein"/>
    <x v="1"/>
    <x v="0"/>
    <m/>
    <x v="0"/>
    <x v="0"/>
    <x v="0"/>
    <x v="1"/>
    <x v="1"/>
    <x v="1"/>
    <x v="0"/>
    <x v="1"/>
    <x v="0"/>
    <x v="0"/>
    <x v="0"/>
    <x v="0"/>
  </r>
  <r>
    <x v="0"/>
    <s v="3"/>
    <x v="1"/>
    <x v="0"/>
    <x v="1"/>
    <s v="Nein"/>
    <x v="0"/>
    <x v="0"/>
    <s v="Da es immer gut ist, sein Wissen auch belegen zu können.      Da mein Arbeitgeber mich dazu augefordert hat.      Da die Prüfung und der Vorbereitungskurs kostenlos waren."/>
    <x v="0"/>
    <x v="0"/>
    <x v="1"/>
    <x v="2"/>
    <x v="2"/>
    <x v="0"/>
    <x v="0"/>
    <x v="2"/>
    <x v="1"/>
    <x v="0"/>
    <x v="0"/>
    <x v="0"/>
  </r>
  <r>
    <x v="0"/>
    <s v="4"/>
    <x v="1"/>
    <x v="0"/>
    <x v="2"/>
    <s v="Nein"/>
    <x v="0"/>
    <x v="0"/>
    <m/>
    <x v="1"/>
    <x v="1"/>
    <x v="2"/>
    <x v="3"/>
    <x v="0"/>
    <x v="1"/>
    <x v="0"/>
    <x v="0"/>
    <x v="0"/>
    <x v="1"/>
    <x v="0"/>
    <x v="1"/>
  </r>
  <r>
    <x v="0"/>
    <s v="5"/>
    <x v="1"/>
    <x v="0"/>
    <x v="3"/>
    <s v="Nein"/>
    <x v="2"/>
    <x v="0"/>
    <s v="Da ich bei Schulungen zur Barrierefreiheit selbst barrierefrei arbeiten möchte."/>
    <x v="2"/>
    <x v="0"/>
    <x v="3"/>
    <x v="0"/>
    <x v="0"/>
    <x v="1"/>
    <x v="0"/>
    <x v="1"/>
    <x v="2"/>
    <x v="0"/>
    <x v="1"/>
    <x v="2"/>
  </r>
  <r>
    <x v="0"/>
    <s v="6"/>
    <x v="1"/>
    <x v="0"/>
    <x v="4"/>
    <s v="Nein"/>
    <x v="3"/>
    <x v="1"/>
    <s v="Ich denke, der Knowledge Badge bietet eine gute Motivation, sich intensiver mit den Themen auseinander zusetzen und einen guten Überblick über die Themenfelder."/>
    <x v="2"/>
    <x v="0"/>
    <x v="0"/>
    <x v="1"/>
    <x v="3"/>
    <x v="0"/>
    <x v="0"/>
    <x v="0"/>
    <x v="0"/>
    <x v="0"/>
    <x v="0"/>
    <x v="3"/>
  </r>
  <r>
    <x v="0"/>
    <s v="7"/>
    <x v="2"/>
    <x v="1"/>
    <x v="0"/>
    <s v="Ja"/>
    <x v="3"/>
    <x v="2"/>
    <s v="Um mich beruflich weiter zu bilden, auch um eine neue berufliche Perspektive bekommen zu können."/>
    <x v="3"/>
    <x v="0"/>
    <x v="0"/>
    <x v="1"/>
    <x v="0"/>
    <x v="0"/>
    <x v="0"/>
    <x v="0"/>
    <x v="0"/>
    <x v="0"/>
    <x v="0"/>
    <x v="4"/>
  </r>
  <r>
    <x v="0"/>
    <s v="8"/>
    <x v="2"/>
    <x v="0"/>
    <x v="2"/>
    <s v="Nein"/>
    <x v="0"/>
    <x v="0"/>
    <m/>
    <x v="2"/>
    <x v="2"/>
    <x v="0"/>
    <x v="1"/>
    <x v="0"/>
    <x v="1"/>
    <x v="0"/>
    <x v="0"/>
    <x v="0"/>
    <x v="0"/>
    <x v="0"/>
    <x v="0"/>
  </r>
  <r>
    <x v="0"/>
    <s v="9"/>
    <x v="0"/>
    <x v="0"/>
    <x v="3"/>
    <s v="Nein"/>
    <x v="2"/>
    <x v="0"/>
    <s v="Ich finde es sehr wichtig, sich damit auseinanderzusetzen, wie ich als Lehrperson (ohne Beeinträchtigung) Studierende mit Beeinträchtigung und ihre Bedürfnisse besser verstehen und darauf eingehen kann. Denn vieles ist ja &amp;quot;nicht böse&amp;quot; (oder diskriminierend) gemeint, sondern entsteht einfach aus der Unwissenheit heraus."/>
    <x v="3"/>
    <x v="2"/>
    <x v="4"/>
    <x v="0"/>
    <x v="0"/>
    <x v="1"/>
    <x v="0"/>
    <x v="0"/>
    <x v="0"/>
    <x v="2"/>
    <x v="0"/>
    <x v="5"/>
  </r>
  <r>
    <x v="0"/>
    <s v="10"/>
    <x v="2"/>
    <x v="2"/>
    <x v="2"/>
    <s v="Ja"/>
    <x v="3"/>
    <x v="3"/>
    <s v="I am branching into the field of Consulting, and I find this knowledge very useful to me"/>
    <x v="2"/>
    <x v="0"/>
    <x v="0"/>
    <x v="0"/>
    <x v="0"/>
    <x v="1"/>
    <x v="0"/>
    <x v="0"/>
    <x v="0"/>
    <x v="0"/>
    <x v="0"/>
    <x v="0"/>
  </r>
  <r>
    <x v="0"/>
    <s v="11"/>
    <x v="1"/>
    <x v="0"/>
    <x v="4"/>
    <s v="Ja"/>
    <x v="3"/>
    <x v="4"/>
    <s v="Ich interessiere mich generell an das Thema Barrierefreiheit und versuche ich ebenfalls einen Beitrag zu leisten hinsichtlich Inklusivität. Ich habe vor mich CPAAC noch diese Jahr zu zertifizieren.            Vielen Dank dafür, dass Sie diese tolle Kurz geschafft haben.            Alles Liebe."/>
    <x v="1"/>
    <x v="0"/>
    <x v="0"/>
    <x v="0"/>
    <x v="0"/>
    <x v="1"/>
    <x v="1"/>
    <x v="0"/>
    <x v="0"/>
    <x v="0"/>
    <x v="0"/>
    <x v="0"/>
  </r>
  <r>
    <x v="0"/>
    <s v="12"/>
    <x v="1"/>
    <x v="0"/>
    <x v="0"/>
    <s v="Nein"/>
    <x v="2"/>
    <x v="0"/>
    <s v="Ich wollte mein Wissen auffrischen und nach außen bestätigt haben, dass ich mich mit Barrierefreiheit in der Lehre auskenne."/>
    <x v="1"/>
    <x v="0"/>
    <x v="0"/>
    <x v="1"/>
    <x v="0"/>
    <x v="1"/>
    <x v="0"/>
    <x v="0"/>
    <x v="0"/>
    <x v="0"/>
    <x v="0"/>
    <x v="0"/>
  </r>
  <r>
    <x v="0"/>
    <s v="13"/>
    <x v="1"/>
    <x v="0"/>
    <x v="3"/>
    <s v="Nein"/>
    <x v="3"/>
    <x v="5"/>
    <s v="Da das Thema eine große gesellschaftliche Relevanz hat und mit den kommenden Jahren weiterhin an Bedeutung gewinnen wird, finde ich es wichtig, sich in diesem Gebiet weiterzubilden."/>
    <x v="0"/>
    <x v="2"/>
    <x v="0"/>
    <x v="1"/>
    <x v="0"/>
    <x v="0"/>
    <x v="0"/>
    <x v="0"/>
    <x v="0"/>
    <x v="2"/>
    <x v="0"/>
    <x v="0"/>
  </r>
  <r>
    <x v="0"/>
    <s v="14"/>
    <x v="1"/>
    <x v="0"/>
    <x v="0"/>
    <s v="Nein"/>
    <x v="3"/>
    <x v="6"/>
    <s v="Um mehr Wissen zu erarbeiten."/>
    <x v="1"/>
    <x v="1"/>
    <x v="5"/>
    <x v="0"/>
    <x v="0"/>
    <x v="1"/>
    <x v="1"/>
    <x v="0"/>
    <x v="0"/>
    <x v="0"/>
    <x v="0"/>
    <x v="0"/>
  </r>
  <r>
    <x v="0"/>
    <s v="15"/>
    <x v="1"/>
    <x v="0"/>
    <x v="5"/>
    <s v="Nein"/>
    <x v="2"/>
    <x v="0"/>
    <m/>
    <x v="1"/>
    <x v="0"/>
    <x v="0"/>
    <x v="0"/>
    <x v="0"/>
    <x v="1"/>
    <x v="0"/>
    <x v="0"/>
    <x v="0"/>
    <x v="0"/>
    <x v="0"/>
    <x v="0"/>
  </r>
  <r>
    <x v="0"/>
    <s v="16"/>
    <x v="1"/>
    <x v="0"/>
    <x v="1"/>
    <s v="Nein"/>
    <x v="0"/>
    <x v="0"/>
    <s v="Um Wissen anzueignen, firmeninterne Vorträge barrierearm zu gestalten."/>
    <x v="2"/>
    <x v="2"/>
    <x v="0"/>
    <x v="2"/>
    <x v="0"/>
    <x v="1"/>
    <x v="0"/>
    <x v="1"/>
    <x v="0"/>
    <x v="2"/>
    <x v="0"/>
    <x v="0"/>
  </r>
  <r>
    <x v="0"/>
    <s v="17"/>
    <x v="1"/>
    <x v="0"/>
    <x v="6"/>
    <s v="Ja"/>
    <x v="3"/>
    <x v="7"/>
    <s v="To broaden my expertise and certification."/>
    <x v="0"/>
    <x v="0"/>
    <x v="0"/>
    <x v="2"/>
    <x v="4"/>
    <x v="2"/>
    <x v="0"/>
    <x v="1"/>
    <x v="3"/>
    <x v="0"/>
    <x v="0"/>
    <x v="6"/>
  </r>
  <r>
    <x v="0"/>
    <s v="18"/>
    <x v="1"/>
    <x v="0"/>
    <x v="3"/>
    <s v="Ja"/>
    <x v="3"/>
    <x v="8"/>
    <s v="Als Zusatzqualifizierung als Testerin und Beraterin"/>
    <x v="0"/>
    <x v="0"/>
    <x v="0"/>
    <x v="1"/>
    <x v="0"/>
    <x v="1"/>
    <x v="0"/>
    <x v="1"/>
    <x v="4"/>
    <x v="2"/>
    <x v="0"/>
    <x v="7"/>
  </r>
  <r>
    <x v="0"/>
    <s v="19"/>
    <x v="2"/>
    <x v="3"/>
    <x v="7"/>
    <s v="Nein"/>
    <x v="3"/>
    <x v="9"/>
    <s v="Ich bin für die Wissensverteilung im Unternehmen zuständig und trete auf Konferenzen auf. Daher erstelle ich viele Vorträge, Folien etc. und wollte mein Wissen zu Vorträgen, Wissensweitergabe und Nutzung der Tools erweitern."/>
    <x v="0"/>
    <x v="0"/>
    <x v="0"/>
    <x v="0"/>
    <x v="0"/>
    <x v="0"/>
    <x v="0"/>
    <x v="0"/>
    <x v="0"/>
    <x v="0"/>
    <x v="0"/>
    <x v="8"/>
  </r>
  <r>
    <x v="0"/>
    <s v="20"/>
    <x v="1"/>
    <x v="0"/>
    <x v="4"/>
    <s v="Ja"/>
    <x v="0"/>
    <x v="0"/>
    <s v="Der Berater meiner Firma hat mir empfohlen, die Prüfung zu machen, weil ich jetzt auch einen neue Arbeitsbereich beginne."/>
    <x v="2"/>
    <x v="3"/>
    <x v="6"/>
    <x v="1"/>
    <x v="5"/>
    <x v="1"/>
    <x v="0"/>
    <x v="0"/>
    <x v="0"/>
    <x v="0"/>
    <x v="0"/>
    <x v="9"/>
  </r>
  <r>
    <x v="0"/>
    <s v="21"/>
    <x v="2"/>
    <x v="4"/>
    <x v="8"/>
    <s v="Nein"/>
    <x v="3"/>
    <x v="10"/>
    <s v="Weil ich perspektivisch gerne in den universitäten/ wissenschaftlichen Bereich gehen möchte und daher den Fokus auf barrierefreie Lehre sehr spannend fand. Weil ich es sehr erfreulich finde, dass es eine Möglichkeit gibt, sich vorhandenes Wissen im Bereich (digitaler) Barrierefreiheit bescheinigen zu lassen."/>
    <x v="2"/>
    <x v="0"/>
    <x v="0"/>
    <x v="0"/>
    <x v="0"/>
    <x v="0"/>
    <x v="0"/>
    <x v="0"/>
    <x v="0"/>
    <x v="0"/>
    <x v="0"/>
    <x v="10"/>
  </r>
  <r>
    <x v="0"/>
    <s v="22"/>
    <x v="2"/>
    <x v="5"/>
    <x v="7"/>
    <s v="Nein"/>
    <x v="3"/>
    <x v="11"/>
    <s v="Ich dachte, dass mein Wissen über Barrierefreiheit im Bereich Blindheit auf andere Einschränkungen übertragen werden kann. Leider bin ich zu unvorbereitet in die Prüfung."/>
    <x v="4"/>
    <x v="3"/>
    <x v="0"/>
    <x v="1"/>
    <x v="0"/>
    <x v="1"/>
    <x v="0"/>
    <x v="0"/>
    <x v="0"/>
    <x v="3"/>
    <x v="2"/>
    <x v="0"/>
  </r>
  <r>
    <x v="1"/>
    <s v="1"/>
    <x v="1"/>
    <x v="0"/>
    <x v="0"/>
    <s v="Nein"/>
    <x v="4"/>
    <x v="0"/>
    <s v="Das Vermitteln von Lerninhalten und die Entwicklung verschiedener Schulungsmaterialien nimmt in meinem Job einen immer größer werdenden Anteil ein und ich habe mit den Kursen der HdM bzw. IAAP sehr gute Erfahrungen gemacht."/>
    <x v="1"/>
    <x v="0"/>
    <x v="0"/>
    <x v="1"/>
    <x v="6"/>
    <x v="0"/>
    <x v="0"/>
    <x v="0"/>
    <x v="0"/>
    <x v="0"/>
    <x v="0"/>
    <x v="0"/>
  </r>
  <r>
    <x v="1"/>
    <s v="2"/>
    <x v="2"/>
    <x v="6"/>
    <x v="8"/>
    <s v="Nein"/>
    <x v="3"/>
    <x v="12"/>
    <s v="Um bestmöglich im Projekt meiner Forschungsgruppe mitwirken zu können."/>
    <x v="2"/>
    <x v="0"/>
    <x v="0"/>
    <x v="1"/>
    <x v="0"/>
    <x v="1"/>
    <x v="0"/>
    <x v="0"/>
    <x v="0"/>
    <x v="0"/>
    <x v="0"/>
    <x v="11"/>
  </r>
  <r>
    <x v="1"/>
    <s v="3"/>
    <x v="1"/>
    <x v="0"/>
    <x v="4"/>
    <s v="Nein"/>
    <x v="0"/>
    <x v="0"/>
    <s v="als individuelle Weiterbildung      um unsere/meine eigenen Lehr-Angebote zu verbessern      als Zeichen der persönlichen Qualifikation"/>
    <x v="0"/>
    <x v="0"/>
    <x v="7"/>
    <x v="0"/>
    <x v="0"/>
    <x v="1"/>
    <x v="0"/>
    <x v="0"/>
    <x v="0"/>
    <x v="0"/>
    <x v="0"/>
    <x v="0"/>
  </r>
  <r>
    <x v="1"/>
    <s v="4"/>
    <x v="1"/>
    <x v="0"/>
    <x v="3"/>
    <s v="Nein"/>
    <x v="5"/>
    <x v="11"/>
    <s v="weil ich Kollegen und Kunde unterztützte, über Barrierefeiheit und Inklusive Innovation zu lerne.       ich bin auch eine LinkedIN Trainerin"/>
    <x v="2"/>
    <x v="0"/>
    <x v="8"/>
    <x v="1"/>
    <x v="7"/>
    <x v="3"/>
    <x v="0"/>
    <x v="0"/>
    <x v="5"/>
    <x v="0"/>
    <x v="3"/>
    <x v="12"/>
  </r>
  <r>
    <x v="1"/>
    <s v="5"/>
    <x v="1"/>
    <x v="0"/>
    <x v="3"/>
    <s v="Nein"/>
    <x v="5"/>
    <x v="11"/>
    <s v="weil ich intern in meiner Kollegen und externe Kunden Beratung und Schulungen zur Barrierefreiheit anbiete.       Um alle IAAP stempeln zu haben!"/>
    <x v="0"/>
    <x v="2"/>
    <x v="9"/>
    <x v="1"/>
    <x v="8"/>
    <x v="0"/>
    <x v="0"/>
    <x v="0"/>
    <x v="6"/>
    <x v="0"/>
    <x v="4"/>
    <x v="13"/>
  </r>
  <r>
    <x v="1"/>
    <s v="6"/>
    <x v="1"/>
    <x v="0"/>
    <x v="2"/>
    <s v="Nein"/>
    <x v="3"/>
    <x v="11"/>
    <s v="Das Angebot war zu gut, um Nein zu sagen. Ich freue mich darauf, dass wir unsere Kompetenzen über die badge nach außen tragen können."/>
    <x v="2"/>
    <x v="0"/>
    <x v="0"/>
    <x v="1"/>
    <x v="0"/>
    <x v="0"/>
    <x v="0"/>
    <x v="0"/>
    <x v="0"/>
    <x v="0"/>
    <x v="0"/>
    <x v="14"/>
  </r>
  <r>
    <x v="1"/>
    <s v="7"/>
    <x v="1"/>
    <x v="0"/>
    <x v="4"/>
    <s v="Nein"/>
    <x v="6"/>
    <x v="13"/>
    <s v="Weil ich besser über barrierefreie Dokumente und Lernmaterialien informiert sein wollte, habe ich den Lernkurs der HDM Stuttgart absolviert und mich zum Knowledge Badge angemeldet."/>
    <x v="0"/>
    <x v="2"/>
    <x v="0"/>
    <x v="2"/>
    <x v="9"/>
    <x v="0"/>
    <x v="0"/>
    <x v="0"/>
    <x v="0"/>
    <x v="0"/>
    <x v="0"/>
    <x v="0"/>
  </r>
  <r>
    <x v="1"/>
    <s v="8"/>
    <x v="0"/>
    <x v="0"/>
    <x v="0"/>
    <s v="Nein"/>
    <x v="2"/>
    <x v="0"/>
    <s v="Um meine Lehr- und Lernangebote kritisch zu überprüfen und mich selbst stärker für Barrierefreiheit bzw. Barrierearmut zu sensibilisieren."/>
    <x v="1"/>
    <x v="0"/>
    <x v="0"/>
    <x v="1"/>
    <x v="0"/>
    <x v="1"/>
    <x v="0"/>
    <x v="0"/>
    <x v="0"/>
    <x v="0"/>
    <x v="0"/>
    <x v="0"/>
  </r>
  <r>
    <x v="1"/>
    <s v="9"/>
    <x v="0"/>
    <x v="0"/>
    <x v="4"/>
    <s v="Nein"/>
    <x v="3"/>
    <x v="14"/>
    <s v="Auffrischung der Infos"/>
    <x v="2"/>
    <x v="0"/>
    <x v="0"/>
    <x v="1"/>
    <x v="10"/>
    <x v="0"/>
    <x v="0"/>
    <x v="0"/>
    <x v="0"/>
    <x v="0"/>
    <x v="0"/>
    <x v="0"/>
  </r>
  <r>
    <x v="1"/>
    <s v="10"/>
    <x v="1"/>
    <x v="0"/>
    <x v="8"/>
    <s v="Nein"/>
    <x v="3"/>
    <x v="15"/>
    <s v="Um das Zertifikat im Bereich meiner Forschung zu nutzen"/>
    <x v="2"/>
    <x v="3"/>
    <x v="0"/>
    <x v="1"/>
    <x v="0"/>
    <x v="1"/>
    <x v="0"/>
    <x v="0"/>
    <x v="0"/>
    <x v="0"/>
    <x v="0"/>
    <x v="0"/>
  </r>
  <r>
    <x v="1"/>
    <s v="11"/>
    <x v="1"/>
    <x v="0"/>
    <x v="0"/>
    <s v="Nein"/>
    <x v="3"/>
    <x v="16"/>
    <s v="Da ich unter anderem Schulungen im Bereich der digitalen Barrierefreiheit gebe, möchte ich Schulungsteilnehmenden die Möglichkeit bieten auf barrierefreie Unterlagen und Präsentationen zuzugreifen."/>
    <x v="0"/>
    <x v="0"/>
    <x v="10"/>
    <x v="1"/>
    <x v="0"/>
    <x v="0"/>
    <x v="0"/>
    <x v="0"/>
    <x v="0"/>
    <x v="0"/>
    <x v="0"/>
    <x v="0"/>
  </r>
  <r>
    <x v="1"/>
    <s v="12"/>
    <x v="1"/>
    <x v="0"/>
    <x v="4"/>
    <s v="Nein"/>
    <x v="6"/>
    <x v="17"/>
    <s v="Als Accessibility Specialist im Development und UX Bereich, und selbst Probleme bei Schule und Studium, bin ich ein großer Befürworter, Lehre vielfältiger zu gestalten. Dazu wollte ich lernen, auf was man als Vortragender schauen muss, um dieses zu gewährleisten und mein Wissen auch an Unis anbieten und durchsetzen zu können."/>
    <x v="1"/>
    <x v="0"/>
    <x v="11"/>
    <x v="1"/>
    <x v="0"/>
    <x v="1"/>
    <x v="0"/>
    <x v="0"/>
    <x v="7"/>
    <x v="0"/>
    <x v="5"/>
    <x v="0"/>
  </r>
  <r>
    <x v="1"/>
    <s v="13"/>
    <x v="1"/>
    <x v="0"/>
    <x v="7"/>
    <s v="Ja"/>
    <x v="3"/>
    <x v="18"/>
    <s v="Weil das Wissen zum einen durch den Lernkurs gut aufbereitet war und zum anderen als &amp;quot;Lernstufe&amp;quot; zum CPACC"/>
    <x v="3"/>
    <x v="2"/>
    <x v="12"/>
    <x v="1"/>
    <x v="11"/>
    <x v="0"/>
    <x v="0"/>
    <x v="0"/>
    <x v="8"/>
    <x v="0"/>
    <x v="6"/>
    <x v="15"/>
  </r>
  <r>
    <x v="1"/>
    <s v="14"/>
    <x v="1"/>
    <x v="0"/>
    <x v="4"/>
    <s v="Nein"/>
    <x v="3"/>
    <x v="19"/>
    <s v="Wissen erweitern und einen &amp;quot;Beleg&amp;quot; für etwaige Bildungsaufträge/Dozentenaufgaben zu haben."/>
    <x v="0"/>
    <x v="0"/>
    <x v="0"/>
    <x v="0"/>
    <x v="0"/>
    <x v="1"/>
    <x v="0"/>
    <x v="0"/>
    <x v="0"/>
    <x v="0"/>
    <x v="0"/>
    <x v="0"/>
  </r>
  <r>
    <x v="1"/>
    <s v="15"/>
    <x v="1"/>
    <x v="0"/>
    <x v="7"/>
    <s v="Nein"/>
    <x v="0"/>
    <x v="0"/>
    <s v="Weil ich zunehmend Schulungen und Workshops zu Grundlagen in den Bereichen Inklusion und Digitale Barrierefreiheit in deutscher Sprache gebe und dieser Kurs sehr gut die notwendigen Inhalte vermittelt.            Zudem ist die Prüfung auch gleichzeitig eine gute Vorbereitung zum CPACC-Exam gewesen."/>
    <x v="1"/>
    <x v="0"/>
    <x v="0"/>
    <x v="0"/>
    <x v="0"/>
    <x v="3"/>
    <x v="0"/>
    <x v="0"/>
    <x v="9"/>
    <x v="0"/>
    <x v="7"/>
    <x v="16"/>
  </r>
  <r>
    <x v="1"/>
    <s v="16"/>
    <x v="1"/>
    <x v="0"/>
    <x v="7"/>
    <s v="Nein"/>
    <x v="3"/>
    <x v="20"/>
    <s v="Wir führen selbst Workshops und Weiterbildungen durch."/>
    <x v="1"/>
    <x v="2"/>
    <x v="13"/>
    <x v="0"/>
    <x v="0"/>
    <x v="0"/>
    <x v="0"/>
    <x v="0"/>
    <x v="0"/>
    <x v="0"/>
    <x v="0"/>
    <x v="17"/>
  </r>
  <r>
    <x v="1"/>
    <s v="17"/>
    <x v="1"/>
    <x v="0"/>
    <x v="7"/>
    <s v="Nein"/>
    <x v="3"/>
    <x v="8"/>
    <s v="Mein Wissen steigern"/>
    <x v="0"/>
    <x v="0"/>
    <x v="0"/>
    <x v="2"/>
    <x v="12"/>
    <x v="0"/>
    <x v="0"/>
    <x v="0"/>
    <x v="0"/>
    <x v="0"/>
    <x v="0"/>
    <x v="18"/>
  </r>
  <r>
    <x v="1"/>
    <s v="18"/>
    <x v="1"/>
    <x v="0"/>
    <x v="7"/>
    <m/>
    <x v="3"/>
    <x v="21"/>
    <s v="Vorbereitung auf weiteres IAAP-Examen (CPACC), Epfehlung durch Prüfer, Wissenserwerb, Barrierefreiheits-Zertifizierung"/>
    <x v="0"/>
    <x v="0"/>
    <x v="0"/>
    <x v="0"/>
    <x v="0"/>
    <x v="0"/>
    <x v="0"/>
    <x v="0"/>
    <x v="0"/>
    <x v="0"/>
    <x v="0"/>
    <x v="19"/>
  </r>
  <r>
    <x v="2"/>
    <s v="1"/>
    <x v="1"/>
    <x v="0"/>
    <x v="3"/>
    <s v="Nein"/>
    <x v="0"/>
    <x v="0"/>
    <s v="Aufnahme in die ExpertInnendatenbank, erste offizielle quasi-Zertifizierung, Sensibilisierung"/>
    <x v="0"/>
    <x v="0"/>
    <x v="0"/>
    <x v="0"/>
    <x v="0"/>
    <x v="0"/>
    <x v="0"/>
    <x v="0"/>
    <x v="0"/>
    <x v="0"/>
    <x v="0"/>
    <x v="20"/>
  </r>
  <r>
    <x v="2"/>
    <s v="2"/>
    <x v="1"/>
    <x v="0"/>
    <x v="0"/>
    <s v="Nein"/>
    <x v="7"/>
    <x v="0"/>
    <s v="Um mein Wissen um die digitale Barrierefreiheit vor allem im Elearningbereich zu erweitern"/>
    <x v="2"/>
    <x v="2"/>
    <x v="14"/>
    <x v="1"/>
    <x v="0"/>
    <x v="1"/>
    <x v="0"/>
    <x v="0"/>
    <x v="0"/>
    <x v="0"/>
    <x v="0"/>
    <x v="0"/>
  </r>
  <r>
    <x v="2"/>
    <s v="3"/>
    <x v="0"/>
    <x v="0"/>
    <x v="0"/>
    <s v="Nein"/>
    <x v="0"/>
    <x v="0"/>
    <s v="Aus sportlichem Ehrgeiz, weil ich mit gutem Beispiel vorangehen möchte, weil ich die gewonnenen Erkenntnisse in meine Lehre einbeziehen möchte und weil ich derzeit am Aufbau des EAA-Knowledge-Badges mitwirke und dafür gerne lernen möchte. ;)"/>
    <x v="1"/>
    <x v="0"/>
    <x v="0"/>
    <x v="0"/>
    <x v="0"/>
    <x v="0"/>
    <x v="0"/>
    <x v="0"/>
    <x v="0"/>
    <x v="0"/>
    <x v="0"/>
    <x v="21"/>
  </r>
  <r>
    <x v="2"/>
    <s v="4"/>
    <x v="0"/>
    <x v="0"/>
    <x v="3"/>
    <s v="Nein"/>
    <x v="3"/>
    <x v="22"/>
    <s v="Um mein Wissen zu überprüfen und um etwas zu haben, was mein Wissen nachweist"/>
    <x v="1"/>
    <x v="0"/>
    <x v="0"/>
    <x v="0"/>
    <x v="0"/>
    <x v="3"/>
    <x v="0"/>
    <x v="0"/>
    <x v="0"/>
    <x v="2"/>
    <x v="8"/>
    <x v="0"/>
  </r>
  <r>
    <x v="2"/>
    <s v="5"/>
    <x v="2"/>
    <x v="7"/>
    <x v="3"/>
    <s v="Nein"/>
    <x v="3"/>
    <x v="23"/>
    <s v="Es ist kostenlos, interessant und nützlich"/>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E14" firstHeaderRow="1" firstDataRow="2" firstDataCol="1"/>
  <pivotFields count="21">
    <pivotField axis="axisCol" showAll="0">
      <items count="4">
        <item x="2"/>
        <item x="1"/>
        <item x="0"/>
        <item t="default"/>
      </items>
    </pivotField>
    <pivotField showAll="0"/>
    <pivotField showAll="0"/>
    <pivotField showAll="0"/>
    <pivotField axis="axisRow" dataField="1" showAll="0">
      <items count="10">
        <item x="6"/>
        <item x="1"/>
        <item x="2"/>
        <item x="0"/>
        <item x="4"/>
        <item x="5"/>
        <item x="7"/>
        <item x="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Fields count="1">
    <field x="0"/>
  </colFields>
  <colItems count="4">
    <i>
      <x/>
    </i>
    <i>
      <x v="1"/>
    </i>
    <i>
      <x v="2"/>
    </i>
    <i t="grand">
      <x/>
    </i>
  </colItems>
  <dataFields count="1">
    <dataField name="Anzahl von 2) Wo haben Sie an der Prüfung teilgenomme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3" cacheId="0" applyNumberFormats="0" applyBorderFormats="0" applyFontFormats="0" applyPatternFormats="0" applyAlignmentFormats="0" applyWidthHeightFormats="1" dataCaption="Werte" updatedVersion="7" minRefreshableVersion="3" useAutoFormatting="1" rowGrandTotals="0" itemPrintTitles="1" createdVersion="7" indent="0" outline="1" outlineData="1" multipleFieldFilters="0" rowHeaderCaption="Sonstiges">
  <location ref="E3:E11" firstHeaderRow="1" firstDataRow="1" firstDataCol="1"/>
  <pivotFields count="21">
    <pivotField showAll="0"/>
    <pivotField showAll="0"/>
    <pivotField showAll="0"/>
    <pivotField axis="axisRow" showAll="0">
      <items count="9">
        <item x="2"/>
        <item x="5"/>
        <item x="4"/>
        <item x="1"/>
        <item x="3"/>
        <item x="7"/>
        <item x="6"/>
        <item n="-"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x v="7"/>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8">
  <location ref="A3:B16" firstHeaderRow="1" firstDataRow="1" firstDataCol="1"/>
  <pivotFields count="21">
    <pivotField axis="axisRow" showAll="0">
      <items count="4">
        <item x="2"/>
        <item x="1"/>
        <item x="0"/>
        <item t="default"/>
      </items>
    </pivotField>
    <pivotField showAll="0"/>
    <pivotField axis="axisRow" dataField="1" showAll="0">
      <items count="4">
        <item x="1"/>
        <item x="0"/>
        <item x="2"/>
        <item t="default"/>
      </items>
    </pivotField>
    <pivotField showAll="0">
      <items count="9">
        <item x="2"/>
        <item x="5"/>
        <item x="4"/>
        <item x="1"/>
        <item x="3"/>
        <item x="7"/>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3">
    <i>
      <x/>
    </i>
    <i r="1">
      <x/>
    </i>
    <i r="1">
      <x v="1"/>
    </i>
    <i r="1">
      <x v="2"/>
    </i>
    <i>
      <x v="1"/>
    </i>
    <i r="1">
      <x/>
    </i>
    <i r="1">
      <x v="1"/>
    </i>
    <i r="1">
      <x v="2"/>
    </i>
    <i>
      <x v="2"/>
    </i>
    <i r="1">
      <x/>
    </i>
    <i r="1">
      <x v="1"/>
    </i>
    <i r="1">
      <x v="2"/>
    </i>
    <i t="grand">
      <x/>
    </i>
  </rowItems>
  <colItems count="1">
    <i/>
  </colItems>
  <dataFields count="1">
    <dataField name="Anzahl"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B12" firstHeaderRow="1" firstDataRow="1" firstDataCol="1"/>
  <pivotFields count="21">
    <pivotField showAll="0">
      <items count="4">
        <item x="2"/>
        <item x="1"/>
        <item x="0"/>
        <item t="default"/>
      </items>
    </pivotField>
    <pivotField showAll="0"/>
    <pivotField showAll="0"/>
    <pivotField showAll="0"/>
    <pivotField showAll="0"/>
    <pivotField showAll="0"/>
    <pivotField axis="axisRow" dataField="1" showAll="0">
      <items count="9">
        <item x="2"/>
        <item x="1"/>
        <item x="4"/>
        <item x="5"/>
        <item x="7"/>
        <item x="0"/>
        <item x="6"/>
        <item x="3"/>
        <item t="default"/>
      </items>
    </pivotField>
    <pivotField showAll="0">
      <items count="25">
        <item x="8"/>
        <item x="14"/>
        <item x="6"/>
        <item x="1"/>
        <item x="2"/>
        <item x="4"/>
        <item x="5"/>
        <item x="10"/>
        <item x="15"/>
        <item x="22"/>
        <item x="7"/>
        <item x="17"/>
        <item x="12"/>
        <item x="9"/>
        <item x="11"/>
        <item x="16"/>
        <item x="20"/>
        <item x="19"/>
        <item x="21"/>
        <item x="3"/>
        <item x="13"/>
        <item x="18"/>
        <item x="2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Anzah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15" cacheId="0" applyNumberFormats="0" applyBorderFormats="0" applyFontFormats="0" applyPatternFormats="0" applyAlignmentFormats="0" applyWidthHeightFormats="1" dataCaption="Werte" updatedVersion="7" minRefreshableVersion="3" useAutoFormatting="1" rowGrandTotals="0" colGrandTotals="0" itemPrintTitles="1" createdVersion="7" indent="0" outline="1" outlineData="1" multipleFieldFilters="0" rowHeaderCaption="Aussagen">
  <location ref="A43:A58" firstHeaderRow="1" firstDataRow="1" firstDataCol="1" rowPageCount="2" colPageCount="1"/>
  <pivotFields count="21">
    <pivotField showAll="0"/>
    <pivotField showAll="0"/>
    <pivotField showAll="0"/>
    <pivotField showAll="0"/>
    <pivotField showAll="0"/>
    <pivotField showAll="0"/>
    <pivotField showAll="0"/>
    <pivotField showAll="0"/>
    <pivotField showAll="0"/>
    <pivotField name="Vorbereitung (h)" axis="axisPage" multipleItemSelectionAllowed="1" showAll="0">
      <items count="6">
        <item x="1"/>
        <item x="2"/>
        <item x="0"/>
        <item x="4"/>
        <item x="3"/>
        <item t="default"/>
      </items>
    </pivotField>
    <pivotField name="Durch den Lernkurs fühlte ich mich gut auf die Prüfung vorbereitet" axis="axisPage" multipleItemSelectionAllowed="1" showAll="0">
      <items count="5">
        <item x="1"/>
        <item x="2"/>
        <item x="0"/>
        <item x="3"/>
        <item t="default"/>
      </items>
    </pivotField>
    <pivotField axis="axisRow" showAll="0">
      <items count="16">
        <item x="10"/>
        <item x="11"/>
        <item x="1"/>
        <item x="4"/>
        <item x="8"/>
        <item x="5"/>
        <item x="2"/>
        <item x="6"/>
        <item x="13"/>
        <item x="14"/>
        <item x="7"/>
        <item x="12"/>
        <item x="9"/>
        <item x="3"/>
        <item x="0"/>
        <item t="default"/>
      </items>
    </pivotField>
    <pivotField showAll="0"/>
    <pivotField showAll="0"/>
    <pivotField showAll="0"/>
    <pivotField showAll="0"/>
    <pivotField showAll="0"/>
    <pivotField showAll="0"/>
    <pivotField showAll="0"/>
    <pivotField showAll="0"/>
    <pivotField showAll="0"/>
  </pivotFields>
  <rowFields count="1">
    <field x="11"/>
  </rowFields>
  <rowItems count="15">
    <i>
      <x/>
    </i>
    <i>
      <x v="1"/>
    </i>
    <i>
      <x v="2"/>
    </i>
    <i>
      <x v="3"/>
    </i>
    <i>
      <x v="4"/>
    </i>
    <i>
      <x v="5"/>
    </i>
    <i>
      <x v="6"/>
    </i>
    <i>
      <x v="7"/>
    </i>
    <i>
      <x v="8"/>
    </i>
    <i>
      <x v="9"/>
    </i>
    <i>
      <x v="10"/>
    </i>
    <i>
      <x v="11"/>
    </i>
    <i>
      <x v="12"/>
    </i>
    <i>
      <x v="13"/>
    </i>
    <i>
      <x v="14"/>
    </i>
  </rowItems>
  <colItems count="1">
    <i/>
  </colItems>
  <pageFields count="2">
    <pageField fld="9" hier="-1"/>
    <pageField fld="10" hier="-1"/>
  </pageFields>
  <formats count="3">
    <format dxfId="28">
      <pivotArea type="all" dataOnly="0" outline="0" fieldPosition="0"/>
    </format>
    <format dxfId="27">
      <pivotArea field="11" type="button" dataOnly="0" labelOnly="1" outline="0" axis="axisRow" fieldPosition="0"/>
    </format>
    <format dxfId="26">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1"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rowHeaderCaption="Vorbereitung (h)">
  <location ref="A3:B9" firstHeaderRow="1" firstDataRow="1" firstDataCol="1" rowPageCount="1" colPageCount="1"/>
  <pivotFields count="21">
    <pivotField axis="axisPage" multipleItemSelectionAllowed="1" showAll="0">
      <items count="4">
        <item x="2"/>
        <item x="1"/>
        <item x="0"/>
        <item t="default"/>
      </items>
    </pivotField>
    <pivotField showAll="0"/>
    <pivotField showAll="0"/>
    <pivotField showAll="0"/>
    <pivotField showAll="0"/>
    <pivotField showAll="0"/>
    <pivotField showAll="0"/>
    <pivotField showAll="0"/>
    <pivotField showAll="0"/>
    <pivotField axis="axisRow" dataField="1" showAll="0">
      <items count="6">
        <item x="1"/>
        <item x="2"/>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pageFields count="1">
    <pageField fld="0" hier="-1"/>
  </pageFields>
  <dataFields count="1">
    <dataField name="Anzahl" fld="9" subtotal="count" baseField="0" baseItem="0"/>
  </dataFields>
  <formats count="4">
    <format dxfId="32">
      <pivotArea field="0" type="button" dataOnly="0" labelOnly="1" outline="0" axis="axisPage" fieldPosition="0"/>
    </format>
    <format dxfId="31">
      <pivotArea field="9" type="button" dataOnly="0" labelOnly="1" outline="0" axis="axisRow" fieldPosition="0"/>
    </format>
    <format dxfId="30">
      <pivotArea dataOnly="0" labelOnly="1" fieldPosition="0">
        <references count="1">
          <reference field="9" count="0"/>
        </references>
      </pivotArea>
    </format>
    <format dxfId="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12"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rowHeaderCaption="Durch den Lernkurs fühlte ich mich gut auf die Prüfung vorbereitet">
  <location ref="A17:B22" firstHeaderRow="1" firstDataRow="1" firstDataCol="1" rowPageCount="1" colPageCount="1"/>
  <pivotFields count="21">
    <pivotField axis="axisPage"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pageFields count="1">
    <pageField fld="0" hier="-1"/>
  </pageFields>
  <dataFields count="1">
    <dataField name="Anzahl" fld="10" subtotal="count" baseField="0" baseItem="0"/>
  </dataFields>
  <formats count="4">
    <format dxfId="36">
      <pivotArea field="0" type="button" dataOnly="0" labelOnly="1" outline="0" axis="axisPage" fieldPosition="0"/>
    </format>
    <format dxfId="35">
      <pivotArea field="10" type="button" dataOnly="0" labelOnly="1" outline="0" axis="axisRow" fieldPosition="0"/>
    </format>
    <format dxfId="34">
      <pivotArea dataOnly="0" labelOnly="1" fieldPosition="0">
        <references count="1">
          <reference field="10" count="0"/>
        </references>
      </pivotArea>
    </format>
    <format dxfId="3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5"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68:G73" firstHeaderRow="1" firstDataRow="2" firstDataCol="1"/>
  <pivotFields count="21">
    <pivotField showAll="0"/>
    <pivotField showAll="0"/>
    <pivotField axis="axisRow" showAll="0">
      <items count="4">
        <item x="1"/>
        <item x="0"/>
        <item x="2"/>
        <item t="default"/>
      </items>
    </pivotField>
    <pivotField showAll="0"/>
    <pivotField showAll="0"/>
    <pivotField showAll="0"/>
    <pivotField showAll="0"/>
    <pivotField showAll="0"/>
    <pivotField showAll="0"/>
    <pivotField axis="axisCol" dataField="1"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9"/>
  </colFields>
  <colItems count="6">
    <i>
      <x/>
    </i>
    <i>
      <x v="1"/>
    </i>
    <i>
      <x v="2"/>
    </i>
    <i>
      <x v="3"/>
    </i>
    <i>
      <x v="4"/>
    </i>
    <i t="grand">
      <x/>
    </i>
  </colItems>
  <dataFields count="1">
    <dataField name="Anzahl von 6) Wie lange haben Sie sich mittels des Lernkurses „Knowledge Badge“ auf die Prüfung vorbereite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14"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rowHeaderCaption="Ich fühlte ich mich gut auf die Prüfung vorbereitet" colHeaderCaption="Vorbereitung (h)">
  <location ref="A28:G34" firstHeaderRow="1" firstDataRow="2" firstDataCol="1"/>
  <pivotFields count="21">
    <pivotField showAll="0"/>
    <pivotField showAll="0"/>
    <pivotField showAll="0"/>
    <pivotField showAll="0"/>
    <pivotField showAll="0"/>
    <pivotField showAll="0"/>
    <pivotField showAll="0"/>
    <pivotField showAll="0"/>
    <pivotField showAll="0"/>
    <pivotField axis="axisCol" dataField="1" showAll="0">
      <items count="6">
        <item x="4"/>
        <item x="1"/>
        <item x="0"/>
        <item x="2"/>
        <item x="3"/>
        <item t="default"/>
      </items>
    </pivotField>
    <pivotField axis="axisRow"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9"/>
  </colFields>
  <colItems count="6">
    <i>
      <x/>
    </i>
    <i>
      <x v="1"/>
    </i>
    <i>
      <x v="2"/>
    </i>
    <i>
      <x v="3"/>
    </i>
    <i>
      <x v="4"/>
    </i>
    <i t="grand">
      <x/>
    </i>
  </colItems>
  <dataFields count="1">
    <dataField name="Lernkurs" fld="9" subtotal="count" baseField="0" baseItem="0"/>
  </dataFields>
  <formats count="4">
    <format dxfId="40">
      <pivotArea type="origin" dataOnly="0" labelOnly="1" outline="0" fieldPosition="0"/>
    </format>
    <format dxfId="39">
      <pivotArea field="10" type="button" dataOnly="0" labelOnly="1" outline="0" axis="axisRow" fieldPosition="0"/>
    </format>
    <format dxfId="38">
      <pivotArea dataOnly="0" labelOnly="1" fieldPosition="0">
        <references count="1">
          <reference field="10" count="0"/>
        </references>
      </pivotArea>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5"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H42:L48" firstHeaderRow="1" firstDataRow="2" firstDataCol="1"/>
  <pivotFields count="21">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0"/>
        <item x="2"/>
        <item x="3"/>
        <item t="default"/>
      </items>
    </pivotField>
    <pivotField showAll="0"/>
    <pivotField showAll="0"/>
    <pivotField showAll="0"/>
    <pivotField showAll="0"/>
    <pivotField showAll="0"/>
    <pivotField showAll="0"/>
  </pivotFields>
  <rowFields count="1">
    <field x="14"/>
  </rowFields>
  <rowItems count="5">
    <i>
      <x/>
    </i>
    <i>
      <x v="1"/>
    </i>
    <i>
      <x v="2"/>
    </i>
    <i>
      <x v="3"/>
    </i>
    <i t="grand">
      <x/>
    </i>
  </rowItems>
  <colFields count="1">
    <field x="0"/>
  </colFields>
  <colItems count="4">
    <i>
      <x/>
    </i>
    <i>
      <x v="1"/>
    </i>
    <i>
      <x v="2"/>
    </i>
    <i t="grand">
      <x/>
    </i>
  </colItems>
  <dataFields count="1">
    <dataField name="Anzahl von 9) Die Fragen waren insgesamt ..."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B24"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2"/>
        <item x="3"/>
        <item t="default"/>
      </items>
    </pivotField>
    <pivotField axis="axisRow" showAll="0">
      <items count="14">
        <item x="6"/>
        <item x="9"/>
        <item x="2"/>
        <item x="3"/>
        <item x="10"/>
        <item x="7"/>
        <item x="12"/>
        <item x="11"/>
        <item x="8"/>
        <item x="1"/>
        <item x="4"/>
        <item x="5"/>
        <item x="0"/>
        <item t="default"/>
      </items>
    </pivotField>
    <pivotField showAll="0"/>
    <pivotField showAll="0"/>
    <pivotField showAll="0"/>
    <pivotField showAll="0"/>
    <pivotField showAll="0"/>
    <pivotField showAll="0"/>
    <pivotField showAll="0"/>
  </pivotFields>
  <rowFields count="2">
    <field x="12"/>
    <field x="13"/>
  </rowFields>
  <rowItems count="21">
    <i>
      <x/>
    </i>
    <i r="1">
      <x v="12"/>
    </i>
    <i>
      <x v="1"/>
    </i>
    <i r="1">
      <x/>
    </i>
    <i r="1">
      <x v="3"/>
    </i>
    <i r="1">
      <x v="4"/>
    </i>
    <i r="1">
      <x v="5"/>
    </i>
    <i r="1">
      <x v="7"/>
    </i>
    <i r="1">
      <x v="8"/>
    </i>
    <i r="1">
      <x v="9"/>
    </i>
    <i r="1">
      <x v="11"/>
    </i>
    <i r="1">
      <x v="12"/>
    </i>
    <i>
      <x v="2"/>
    </i>
    <i r="1">
      <x v="1"/>
    </i>
    <i r="1">
      <x v="2"/>
    </i>
    <i r="1">
      <x v="6"/>
    </i>
    <i r="1">
      <x v="10"/>
    </i>
    <i r="1">
      <x v="12"/>
    </i>
    <i>
      <x v="3"/>
    </i>
    <i r="1">
      <x v="12"/>
    </i>
    <i t="grand">
      <x/>
    </i>
  </rowItems>
  <colItems count="1">
    <i/>
  </colItems>
  <dataFields count="1">
    <dataField name="Die Fragen waren verständlich formuliert" fld="12" subtotal="count" baseField="0" baseItem="0"/>
  </dataFields>
  <formats count="7">
    <format dxfId="25">
      <pivotArea field="12" type="button" dataOnly="0" labelOnly="1" outline="0" axis="axisRow" fieldPosition="0"/>
    </format>
    <format dxfId="24">
      <pivotArea dataOnly="0" labelOnly="1" fieldPosition="0">
        <references count="1">
          <reference field="12" count="0"/>
        </references>
      </pivotArea>
    </format>
    <format dxfId="23">
      <pivotArea dataOnly="0" labelOnly="1" grandRow="1" outline="0" fieldPosition="0"/>
    </format>
    <format dxfId="22">
      <pivotArea dataOnly="0" labelOnly="1" fieldPosition="0">
        <references count="2">
          <reference field="12" count="1" selected="0">
            <x v="0"/>
          </reference>
          <reference field="13" count="1">
            <x v="12"/>
          </reference>
        </references>
      </pivotArea>
    </format>
    <format dxfId="21">
      <pivotArea dataOnly="0" labelOnly="1" fieldPosition="0">
        <references count="2">
          <reference field="12" count="1" selected="0">
            <x v="1"/>
          </reference>
          <reference field="13" count="9">
            <x v="0"/>
            <x v="3"/>
            <x v="4"/>
            <x v="5"/>
            <x v="7"/>
            <x v="8"/>
            <x v="9"/>
            <x v="11"/>
            <x v="12"/>
          </reference>
        </references>
      </pivotArea>
    </format>
    <format dxfId="20">
      <pivotArea dataOnly="0" labelOnly="1" fieldPosition="0">
        <references count="2">
          <reference field="12" count="1" selected="0">
            <x v="2"/>
          </reference>
          <reference field="13" count="5">
            <x v="1"/>
            <x v="2"/>
            <x v="6"/>
            <x v="10"/>
            <x v="12"/>
          </reference>
        </references>
      </pivotArea>
    </format>
    <format dxfId="19">
      <pivotArea dataOnly="0" labelOnly="1" fieldPosition="0">
        <references count="2">
          <reference field="12" count="1" selected="0">
            <x v="3"/>
          </reference>
          <reference field="13"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2"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H3:I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Anzahl von 9) Die Fragen waren insgesamt ..."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3"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O3:P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axis="axisRow" dataField="1" showAll="0">
      <items count="3">
        <item x="1"/>
        <item x="0"/>
        <item t="default"/>
      </items>
    </pivotField>
    <pivotField showAll="0"/>
    <pivotField showAll="0"/>
    <pivotField showAll="0"/>
    <pivotField showAll="0"/>
    <pivotField showAll="0"/>
  </pivotFields>
  <rowFields count="1">
    <field x="15"/>
  </rowFields>
  <rowItems count="3">
    <i>
      <x/>
    </i>
    <i>
      <x v="1"/>
    </i>
    <i t="grand">
      <x/>
    </i>
  </rowItems>
  <colItems count="1">
    <i/>
  </colItems>
  <dataFields count="1">
    <dataField name="Anzahl von 10) Es bestand ausreichend Zeit, die Fragen zu beantworten"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4"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H16:N22" firstHeaderRow="1" firstDataRow="2" firstDataCol="1"/>
  <pivotFields count="21">
    <pivotField showAll="0"/>
    <pivotField showAll="0"/>
    <pivotField showAll="0"/>
    <pivotField showAll="0"/>
    <pivotField showAll="0"/>
    <pivotField showAll="0"/>
    <pivotField showAll="0"/>
    <pivotField showAll="0"/>
    <pivotField showAll="0"/>
    <pivotField axis="axisCol" showAll="0">
      <items count="6">
        <item x="4"/>
        <item x="1"/>
        <item x="0"/>
        <item x="2"/>
        <item x="3"/>
        <item t="default"/>
      </items>
    </pivotField>
    <pivotField showAll="0"/>
    <pivotField showAll="0"/>
    <pivotField showAll="0">
      <items count="5">
        <item x="3"/>
        <item x="1"/>
        <item x="0"/>
        <item x="2"/>
        <item t="default"/>
      </items>
    </pivotField>
    <pivotField showAll="0"/>
    <pivotField axis="axisRow" dataField="1" showAll="0">
      <items count="5">
        <item x="3"/>
        <item x="0"/>
        <item x="1"/>
        <item x="2"/>
        <item t="default"/>
      </items>
    </pivotField>
    <pivotField showAll="0"/>
    <pivotField showAll="0"/>
    <pivotField showAll="0"/>
    <pivotField showAll="0"/>
    <pivotField showAll="0"/>
    <pivotField showAll="0"/>
  </pivotFields>
  <rowFields count="1">
    <field x="14"/>
  </rowFields>
  <rowItems count="5">
    <i>
      <x/>
    </i>
    <i>
      <x v="1"/>
    </i>
    <i>
      <x v="2"/>
    </i>
    <i>
      <x v="3"/>
    </i>
    <i t="grand">
      <x/>
    </i>
  </rowItems>
  <colFields count="1">
    <field x="9"/>
  </colFields>
  <colItems count="6">
    <i>
      <x/>
    </i>
    <i>
      <x v="1"/>
    </i>
    <i>
      <x v="2"/>
    </i>
    <i>
      <x v="3"/>
    </i>
    <i>
      <x v="4"/>
    </i>
    <i t="grand">
      <x/>
    </i>
  </colItems>
  <dataFields count="1">
    <dataField name="Anzahl von 9) Die Fragen waren insgesamt ..."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9"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H30:L36" firstHeaderRow="1" firstDataRow="2" firstDataCol="1"/>
  <pivotFields count="21">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1"/>
        <item x="0"/>
        <item x="2"/>
        <item t="default"/>
      </items>
    </pivotField>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Fields count="1">
    <field x="0"/>
  </colFields>
  <colItems count="4">
    <i>
      <x/>
    </i>
    <i>
      <x v="1"/>
    </i>
    <i>
      <x v="2"/>
    </i>
    <i t="grand">
      <x/>
    </i>
  </colItems>
  <dataFields count="1">
    <dataField name="Anzahl von 8) Die Fragen waren verständlich formuliert"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6"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K19" firstHeaderRow="1" firstDataRow="2" firstDataCol="1"/>
  <pivotFields count="21">
    <pivotField showAll="0"/>
    <pivotField showAll="0"/>
    <pivotField showAll="0"/>
    <pivotField showAll="0"/>
    <pivotField axis="axisCol" showAll="0">
      <items count="10">
        <item x="6"/>
        <item x="1"/>
        <item x="2"/>
        <item x="0"/>
        <item x="4"/>
        <item x="5"/>
        <item x="7"/>
        <item x="8"/>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axis="axisRow" showAll="0">
      <items count="11">
        <item x="5"/>
        <item x="8"/>
        <item x="1"/>
        <item x="3"/>
        <item x="2"/>
        <item x="4"/>
        <item x="7"/>
        <item x="9"/>
        <item x="6"/>
        <item x="0"/>
        <item t="default"/>
      </items>
    </pivotField>
    <pivotField showAll="0"/>
    <pivotField showAll="0"/>
    <pivotField showAll="0"/>
  </pivotFields>
  <rowFields count="2">
    <field x="16"/>
    <field x="17"/>
  </rowFields>
  <rowItems count="15">
    <i>
      <x/>
    </i>
    <i r="1">
      <x/>
    </i>
    <i r="1">
      <x v="1"/>
    </i>
    <i r="1">
      <x v="6"/>
    </i>
    <i r="1">
      <x v="7"/>
    </i>
    <i r="1">
      <x v="8"/>
    </i>
    <i r="1">
      <x v="9"/>
    </i>
    <i>
      <x v="1"/>
    </i>
    <i r="1">
      <x v="3"/>
    </i>
    <i r="1">
      <x v="4"/>
    </i>
    <i r="1">
      <x v="5"/>
    </i>
    <i r="1">
      <x v="9"/>
    </i>
    <i>
      <x v="2"/>
    </i>
    <i r="1">
      <x v="2"/>
    </i>
    <i t="grand">
      <x/>
    </i>
  </rowItems>
  <colFields count="1">
    <field x="4"/>
  </colFields>
  <colItems count="10">
    <i>
      <x/>
    </i>
    <i>
      <x v="1"/>
    </i>
    <i>
      <x v="2"/>
    </i>
    <i>
      <x v="3"/>
    </i>
    <i>
      <x v="4"/>
    </i>
    <i>
      <x v="5"/>
    </i>
    <i>
      <x v="6"/>
    </i>
    <i>
      <x v="7"/>
    </i>
    <i>
      <x v="8"/>
    </i>
    <i t="grand">
      <x/>
    </i>
  </colItems>
  <dataFields count="1">
    <dataField name="Anzahl von 11) Die Prüfung vor Ort war gut organisiert und verlief reibungslos"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7"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E20" firstHeaderRow="1" firstDataRow="2" firstDataCol="1"/>
  <pivotFields count="21">
    <pivotField axis="axisCol" multipleItemSelectionAllowe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1"/>
        <item x="3"/>
        <item t="default"/>
      </items>
    </pivotField>
    <pivotField axis="axisRow" showAll="0">
      <items count="10">
        <item x="8"/>
        <item x="7"/>
        <item x="2"/>
        <item x="1"/>
        <item x="5"/>
        <item x="3"/>
        <item x="4"/>
        <item x="6"/>
        <item x="0"/>
        <item t="default"/>
      </items>
    </pivotField>
    <pivotField showAll="0"/>
  </pivotFields>
  <rowFields count="2">
    <field x="18"/>
    <field x="19"/>
  </rowFields>
  <rowItems count="16">
    <i>
      <x/>
    </i>
    <i r="1">
      <x v="1"/>
    </i>
    <i r="1">
      <x v="3"/>
    </i>
    <i r="1">
      <x v="4"/>
    </i>
    <i r="1">
      <x v="5"/>
    </i>
    <i r="1">
      <x v="6"/>
    </i>
    <i r="1">
      <x v="7"/>
    </i>
    <i r="1">
      <x v="8"/>
    </i>
    <i>
      <x v="1"/>
    </i>
    <i r="1">
      <x/>
    </i>
    <i r="1">
      <x v="8"/>
    </i>
    <i>
      <x v="2"/>
    </i>
    <i r="1">
      <x v="8"/>
    </i>
    <i>
      <x v="3"/>
    </i>
    <i r="1">
      <x v="2"/>
    </i>
    <i t="grand">
      <x/>
    </i>
  </rowItems>
  <colFields count="1">
    <field x="0"/>
  </colFields>
  <colItems count="4">
    <i>
      <x/>
    </i>
    <i>
      <x v="1"/>
    </i>
    <i>
      <x v="2"/>
    </i>
    <i t="grand">
      <x/>
    </i>
  </colItems>
  <dataFields count="1">
    <dataField name="Anzahl von 12) Ich würde den Erwerb des Knowledge Badge „Barrierefrei lehren“ meinen Kolleginnen und Kollegen weiterempfehlen" fld="18" subtotal="count" baseField="0" baseItem="0"/>
  </dataFields>
  <formats count="19">
    <format dxfId="18">
      <pivotArea dataOnly="0" labelOnly="1" fieldPosition="0">
        <references count="1">
          <reference field="19" count="0"/>
        </references>
      </pivotArea>
    </format>
    <format dxfId="17">
      <pivotArea field="0" type="button" dataOnly="0" labelOnly="1" outline="0" axis="axisCol" fieldPosition="0"/>
    </format>
    <format dxfId="16">
      <pivotArea field="18" type="button" dataOnly="0" labelOnly="1" outline="0" axis="axisRow" fieldPosition="0"/>
    </format>
    <format dxfId="15">
      <pivotArea dataOnly="0" labelOnly="1" fieldPosition="0">
        <references count="1">
          <reference field="18" count="0"/>
        </references>
      </pivotArea>
    </format>
    <format dxfId="14">
      <pivotArea dataOnly="0" labelOnly="1" grandRow="1" outline="0" fieldPosition="0"/>
    </format>
    <format dxfId="13">
      <pivotArea dataOnly="0" labelOnly="1" fieldPosition="0">
        <references count="2">
          <reference field="18" count="1" selected="0">
            <x v="0"/>
          </reference>
          <reference field="19" count="7">
            <x v="1"/>
            <x v="3"/>
            <x v="4"/>
            <x v="5"/>
            <x v="6"/>
            <x v="7"/>
            <x v="8"/>
          </reference>
        </references>
      </pivotArea>
    </format>
    <format dxfId="12">
      <pivotArea dataOnly="0" labelOnly="1" fieldPosition="0">
        <references count="2">
          <reference field="18" count="1" selected="0">
            <x v="1"/>
          </reference>
          <reference field="19" count="2">
            <x v="0"/>
            <x v="8"/>
          </reference>
        </references>
      </pivotArea>
    </format>
    <format dxfId="11">
      <pivotArea dataOnly="0" labelOnly="1" fieldPosition="0">
        <references count="2">
          <reference field="18" count="1" selected="0">
            <x v="2"/>
          </reference>
          <reference field="19" count="1">
            <x v="8"/>
          </reference>
        </references>
      </pivotArea>
    </format>
    <format dxfId="10">
      <pivotArea dataOnly="0" labelOnly="1" fieldPosition="0">
        <references count="2">
          <reference field="18" count="1" selected="0">
            <x v="3"/>
          </reference>
          <reference field="19" count="1">
            <x v="2"/>
          </reference>
        </references>
      </pivotArea>
    </format>
    <format dxfId="9">
      <pivotArea field="0" type="button" dataOnly="0" labelOnly="1" outline="0" axis="axisCol" fieldPosition="0"/>
    </format>
    <format dxfId="8">
      <pivotArea field="18" type="button" dataOnly="0" labelOnly="1" outline="0" axis="axisRow" fieldPosition="0"/>
    </format>
    <format dxfId="7">
      <pivotArea dataOnly="0" labelOnly="1" fieldPosition="0">
        <references count="1">
          <reference field="18" count="0"/>
        </references>
      </pivotArea>
    </format>
    <format dxfId="6">
      <pivotArea dataOnly="0" labelOnly="1" grandRow="1" outline="0" fieldPosition="0"/>
    </format>
    <format dxfId="5">
      <pivotArea dataOnly="0" labelOnly="1" fieldPosition="0">
        <references count="2">
          <reference field="18" count="1" selected="0">
            <x v="0"/>
          </reference>
          <reference field="19" count="7">
            <x v="1"/>
            <x v="3"/>
            <x v="4"/>
            <x v="5"/>
            <x v="6"/>
            <x v="7"/>
            <x v="8"/>
          </reference>
        </references>
      </pivotArea>
    </format>
    <format dxfId="4">
      <pivotArea dataOnly="0" labelOnly="1" fieldPosition="0">
        <references count="2">
          <reference field="18" count="1" selected="0">
            <x v="1"/>
          </reference>
          <reference field="19" count="2">
            <x v="0"/>
            <x v="8"/>
          </reference>
        </references>
      </pivotArea>
    </format>
    <format dxfId="3">
      <pivotArea dataOnly="0" labelOnly="1" fieldPosition="0">
        <references count="2">
          <reference field="18" count="1" selected="0">
            <x v="2"/>
          </reference>
          <reference field="19" count="1">
            <x v="8"/>
          </reference>
        </references>
      </pivotArea>
    </format>
    <format dxfId="2">
      <pivotArea dataOnly="0" labelOnly="1" fieldPosition="0">
        <references count="2">
          <reference field="18" count="1" selected="0">
            <x v="3"/>
          </reference>
          <reference field="19" count="1">
            <x v="2"/>
          </reference>
        </references>
      </pivotArea>
    </format>
    <format dxfId="1">
      <pivotArea collapsedLevelsAreSubtotals="1" fieldPosition="0">
        <references count="2">
          <reference field="0" count="1" selected="0">
            <x v="0"/>
          </reference>
          <reference field="18" count="1">
            <x v="1"/>
          </reference>
        </references>
      </pivotArea>
    </format>
    <format dxfId="0">
      <pivotArea field="18" grandCol="1" collapsedLevelsAreSubtotals="1" axis="axisRow" fieldPosition="0">
        <references count="1">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8" cacheId="0" applyNumberFormats="0" applyBorderFormats="0" applyFontFormats="0" applyPatternFormats="0" applyAlignmentFormats="0" applyWidthHeightFormats="1" dataCaption="Werte" updatedVersion="7" minRefreshableVersion="3" useAutoFormatting="1" rowGrandTotals="0" colGrandTotals="0" itemPrintTitles="1" createdVersion="7" indent="0" outline="1" outlineData="1" multipleFieldFilters="0">
  <location ref="A3:D26" firstHeaderRow="1" firstDataRow="2" firstDataCol="1"/>
  <pivotFields count="21">
    <pivotField axis="axisCol" showAll="0" sortType="ascending">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3">
        <item x="12"/>
        <item x="20"/>
        <item x="14"/>
        <item x="17"/>
        <item x="4"/>
        <item x="7"/>
        <item x="16"/>
        <item x="13"/>
        <item x="9"/>
        <item x="3"/>
        <item x="1"/>
        <item x="18"/>
        <item x="5"/>
        <item x="19"/>
        <item x="6"/>
        <item x="21"/>
        <item x="11"/>
        <item x="10"/>
        <item x="15"/>
        <item x="8"/>
        <item x="2"/>
        <item x="0"/>
        <item t="default"/>
      </items>
    </pivotField>
  </pivotFields>
  <rowFields count="1">
    <field x="20"/>
  </rowFields>
  <rowItems count="22">
    <i>
      <x/>
    </i>
    <i>
      <x v="1"/>
    </i>
    <i>
      <x v="2"/>
    </i>
    <i>
      <x v="3"/>
    </i>
    <i>
      <x v="4"/>
    </i>
    <i>
      <x v="5"/>
    </i>
    <i>
      <x v="6"/>
    </i>
    <i>
      <x v="7"/>
    </i>
    <i>
      <x v="8"/>
    </i>
    <i>
      <x v="9"/>
    </i>
    <i>
      <x v="10"/>
    </i>
    <i>
      <x v="11"/>
    </i>
    <i>
      <x v="12"/>
    </i>
    <i>
      <x v="13"/>
    </i>
    <i>
      <x v="14"/>
    </i>
    <i>
      <x v="15"/>
    </i>
    <i>
      <x v="16"/>
    </i>
    <i>
      <x v="17"/>
    </i>
    <i>
      <x v="18"/>
    </i>
    <i>
      <x v="19"/>
    </i>
    <i>
      <x v="20"/>
    </i>
    <i>
      <x v="21"/>
    </i>
  </rowItems>
  <colFields count="1">
    <field x="0"/>
  </colFields>
  <colItems count="3">
    <i>
      <x/>
    </i>
    <i>
      <x v="1"/>
    </i>
    <i>
      <x v="2"/>
    </i>
  </colItems>
  <dataFields count="1">
    <dataField name="Anzahl von 13) Möchten Sie uns noch etwas mitteile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edbackTable" displayName="FeedbackTable" ref="A1:U46">
  <autoFilter ref="A1:U46" xr:uid="{00000000-0009-0000-0100-000001000000}"/>
  <tableColumns count="21">
    <tableColumn id="1" xr3:uid="{00000000-0010-0000-0000-000001000000}" name="Runde" dataDxfId="41"/>
    <tableColumn id="2" xr3:uid="{00000000-0010-0000-0000-000002000000}" name="Antwort Nr."/>
    <tableColumn id="3" xr3:uid="{00000000-0010-0000-0000-000003000000}" name="1) Beruflicher Hintergrund"/>
    <tableColumn id="4" xr3:uid="{00000000-0010-0000-0000-000004000000}" name="Wenn Sie &quot;Sonstiges&quot; ausgewählt haben, tragen Sie bitte Ihren beruflichen Hintergrund ein:"/>
    <tableColumn id="5" xr3:uid="{00000000-0010-0000-0000-000005000000}" name="2) Wo haben Sie an der Prüfung teilgenommen?"/>
    <tableColumn id="6" xr3:uid="{00000000-0010-0000-0000-000006000000}" name="3) Haben Sie einen Nachteilsausgleich in Anspruch genommen?"/>
    <tableColumn id="7" xr3:uid="{00000000-0010-0000-0000-000007000000}" name="4) Wie sind Sie auf die Prüfung zum Knowledge Badge „Barrierefrei lehren“ aufmerksam geworden?"/>
    <tableColumn id="8" xr3:uid="{00000000-0010-0000-0000-000008000000}" name="Wenn Sie &quot;Sonstiges&quot; ausgewählt haben, tragen Sie bitte ein, wie Sie auf die Prüfung aufmerksam geworden sind:"/>
    <tableColumn id="9" xr3:uid="{00000000-0010-0000-0000-000009000000}" name="5) Warum haben Sie sich entschieden, die Prüfung zum Knowledge Badge „Barrierefrei lehren“ abzulegen?"/>
    <tableColumn id="10" xr3:uid="{00000000-0010-0000-0000-00000A000000}" name="6) Wie lange haben Sie sich mittels des Lernkurses „Knowledge Badge“ auf die Prüfung vorbereitet?"/>
    <tableColumn id="11" xr3:uid="{00000000-0010-0000-0000-00000B000000}" name="7) Durch den Lernkurs fühlte ich mich gut auf die Prüfung vorbereitet (nur ausfüllen, wenn Sie den Lernkurs als Vorbereitung verwendet haben)"/>
    <tableColumn id="12" xr3:uid="{00000000-0010-0000-0000-00000C000000}" name="Warum? (optional)"/>
    <tableColumn id="13" xr3:uid="{00000000-0010-0000-0000-00000D000000}" name="8) Die Fragen waren verständlich formuliert"/>
    <tableColumn id="14" xr3:uid="{00000000-0010-0000-0000-00000E000000}" name="Warum? (optional)2"/>
    <tableColumn id="15" xr3:uid="{00000000-0010-0000-0000-00000F000000}" name="9) Die Fragen waren insgesamt ..."/>
    <tableColumn id="16" xr3:uid="{00000000-0010-0000-0000-000010000000}" name="10) Es bestand ausreichend Zeit, die Fragen zu beantworten"/>
    <tableColumn id="17" xr3:uid="{00000000-0010-0000-0000-000011000000}" name="11) Die Prüfung vor Ort war gut organisiert und verlief reibungslos"/>
    <tableColumn id="18" xr3:uid="{00000000-0010-0000-0000-000012000000}" name="Warum? (optional)3"/>
    <tableColumn id="19" xr3:uid="{00000000-0010-0000-0000-000013000000}" name="12) Ich würde den Erwerb des Knowledge Badge „Barrierefrei lehren“ meinen Kolleginnen und Kollegen weiterempfehlen"/>
    <tableColumn id="20" xr3:uid="{00000000-0010-0000-0000-000014000000}" name="Warum? (optional)4"/>
    <tableColumn id="21" xr3:uid="{00000000-0010-0000-0000-000015000000}" name="13) Möchten Sie uns noch etwas mitteilen?"/>
  </tableColumns>
  <tableStyleInfo name="TableStyleMedium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workbookViewId="0">
      <selection activeCell="G7" sqref="G7"/>
    </sheetView>
  </sheetViews>
  <sheetFormatPr baseColWidth="10" defaultRowHeight="15.7" x14ac:dyDescent="0.55000000000000004"/>
  <cols>
    <col min="1" max="2" width="11.27734375" style="1" customWidth="1"/>
    <col min="3" max="3" width="10.5" style="1" customWidth="1"/>
    <col min="4" max="4" width="12.94140625" customWidth="1"/>
    <col min="5" max="5" width="11.44140625" customWidth="1"/>
    <col min="6" max="6" width="11.5546875" customWidth="1"/>
  </cols>
  <sheetData>
    <row r="1" spans="1:7" s="2" customFormat="1" ht="38.700000000000003" customHeight="1" x14ac:dyDescent="0.55000000000000004">
      <c r="A1" s="3" t="s">
        <v>0</v>
      </c>
      <c r="B1" s="4" t="s">
        <v>1</v>
      </c>
      <c r="C1" s="4" t="s">
        <v>2</v>
      </c>
      <c r="D1" s="5" t="s">
        <v>3</v>
      </c>
      <c r="E1" s="5" t="s">
        <v>4</v>
      </c>
      <c r="F1" s="5" t="s">
        <v>5</v>
      </c>
      <c r="G1" s="6" t="s">
        <v>6</v>
      </c>
    </row>
    <row r="2" spans="1:7" x14ac:dyDescent="0.55000000000000004">
      <c r="A2" s="7">
        <v>1</v>
      </c>
      <c r="B2" s="1" t="s">
        <v>7</v>
      </c>
      <c r="C2" s="8">
        <v>4</v>
      </c>
      <c r="D2" s="9">
        <v>7</v>
      </c>
      <c r="E2" s="9">
        <v>7</v>
      </c>
      <c r="F2" s="9">
        <v>0</v>
      </c>
      <c r="G2" s="10">
        <v>5</v>
      </c>
    </row>
    <row r="3" spans="1:7" x14ac:dyDescent="0.55000000000000004">
      <c r="A3" s="11">
        <v>2</v>
      </c>
      <c r="B3" s="1" t="s">
        <v>8</v>
      </c>
      <c r="C3" s="8">
        <v>6</v>
      </c>
      <c r="D3" s="9">
        <v>29</v>
      </c>
      <c r="E3" s="9">
        <v>27</v>
      </c>
      <c r="F3" s="9">
        <v>2</v>
      </c>
      <c r="G3" s="10">
        <v>18</v>
      </c>
    </row>
    <row r="4" spans="1:7" x14ac:dyDescent="0.55000000000000004">
      <c r="A4" s="12">
        <v>3</v>
      </c>
      <c r="B4" s="1" t="s">
        <v>9</v>
      </c>
      <c r="C4" s="8">
        <v>10</v>
      </c>
      <c r="D4" s="9">
        <v>77</v>
      </c>
      <c r="E4" s="9">
        <v>63</v>
      </c>
      <c r="F4" s="9">
        <v>14</v>
      </c>
      <c r="G4" s="10">
        <v>22</v>
      </c>
    </row>
    <row r="5" spans="1:7" x14ac:dyDescent="0.55000000000000004">
      <c r="A5" s="13"/>
      <c r="C5" s="8"/>
      <c r="D5" s="9"/>
      <c r="E5" s="9"/>
      <c r="F5" s="9"/>
      <c r="G5" s="10"/>
    </row>
    <row r="6" spans="1:7" s="14" customFormat="1" x14ac:dyDescent="0.55000000000000004">
      <c r="A6" s="15" t="s">
        <v>10</v>
      </c>
      <c r="B6" s="16"/>
      <c r="C6" s="17">
        <v>10</v>
      </c>
      <c r="D6" s="18">
        <f>SUM(D2:D5)</f>
        <v>113</v>
      </c>
      <c r="E6" s="18">
        <f>SUM(E2:E5)</f>
        <v>97</v>
      </c>
      <c r="F6" s="18">
        <f>SUM(F2:F5)</f>
        <v>16</v>
      </c>
      <c r="G6" s="19">
        <f>SUM(G2:G5)</f>
        <v>45</v>
      </c>
    </row>
  </sheetData>
  <pageMargins left="0.7" right="0.7" top="0.78740157500000008" bottom="0.78740157500000008"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27"/>
  <sheetViews>
    <sheetView workbookViewId="0">
      <selection activeCell="N14" sqref="N14"/>
    </sheetView>
  </sheetViews>
  <sheetFormatPr baseColWidth="10" defaultRowHeight="15.7" x14ac:dyDescent="0.55000000000000004"/>
  <cols>
    <col min="1" max="1" width="35.0546875" customWidth="1"/>
    <col min="2" max="2" width="4.5546875" customWidth="1"/>
    <col min="3" max="4" width="2.83203125" bestFit="1" customWidth="1"/>
    <col min="5" max="5" width="14.44140625" bestFit="1" customWidth="1"/>
    <col min="8" max="8" width="8.94140625" customWidth="1"/>
    <col min="9" max="9" width="5.1640625" customWidth="1"/>
    <col min="10" max="10" width="4.88671875" customWidth="1"/>
    <col min="11" max="11" width="4.77734375" customWidth="1"/>
  </cols>
  <sheetData>
    <row r="3" spans="1:5" x14ac:dyDescent="0.55000000000000004">
      <c r="A3" s="20" t="s">
        <v>11</v>
      </c>
      <c r="B3" s="20" t="s">
        <v>12</v>
      </c>
    </row>
    <row r="4" spans="1:5" x14ac:dyDescent="0.55000000000000004">
      <c r="A4" s="20" t="s">
        <v>13</v>
      </c>
      <c r="B4">
        <v>1</v>
      </c>
      <c r="C4">
        <v>2</v>
      </c>
      <c r="D4">
        <v>3</v>
      </c>
      <c r="E4" t="s">
        <v>14</v>
      </c>
    </row>
    <row r="5" spans="1:5" x14ac:dyDescent="0.55000000000000004">
      <c r="A5" s="1" t="s">
        <v>15</v>
      </c>
      <c r="B5" s="9"/>
      <c r="C5" s="9"/>
      <c r="D5" s="9">
        <v>1</v>
      </c>
      <c r="E5" s="9">
        <v>1</v>
      </c>
    </row>
    <row r="6" spans="1:5" x14ac:dyDescent="0.55000000000000004">
      <c r="A6" s="1" t="s">
        <v>16</v>
      </c>
      <c r="B6" s="9"/>
      <c r="C6" s="9"/>
      <c r="D6" s="9">
        <v>3</v>
      </c>
      <c r="E6" s="9">
        <v>3</v>
      </c>
    </row>
    <row r="7" spans="1:5" x14ac:dyDescent="0.55000000000000004">
      <c r="A7" s="1" t="s">
        <v>17</v>
      </c>
      <c r="B7" s="9"/>
      <c r="C7" s="9">
        <v>1</v>
      </c>
      <c r="D7" s="9">
        <v>3</v>
      </c>
      <c r="E7" s="9">
        <v>4</v>
      </c>
    </row>
    <row r="8" spans="1:5" x14ac:dyDescent="0.55000000000000004">
      <c r="A8" s="1" t="s">
        <v>18</v>
      </c>
      <c r="B8" s="9">
        <v>2</v>
      </c>
      <c r="C8" s="9">
        <v>3</v>
      </c>
      <c r="D8" s="9">
        <v>4</v>
      </c>
      <c r="E8" s="9">
        <v>9</v>
      </c>
    </row>
    <row r="9" spans="1:5" x14ac:dyDescent="0.55000000000000004">
      <c r="A9" s="1" t="s">
        <v>19</v>
      </c>
      <c r="B9" s="9"/>
      <c r="C9" s="9">
        <v>5</v>
      </c>
      <c r="D9" s="9">
        <v>3</v>
      </c>
      <c r="E9" s="9">
        <v>8</v>
      </c>
    </row>
    <row r="10" spans="1:5" x14ac:dyDescent="0.55000000000000004">
      <c r="A10" s="1" t="s">
        <v>20</v>
      </c>
      <c r="B10" s="9"/>
      <c r="C10" s="9"/>
      <c r="D10" s="9">
        <v>1</v>
      </c>
      <c r="E10" s="9">
        <v>1</v>
      </c>
    </row>
    <row r="11" spans="1:5" x14ac:dyDescent="0.55000000000000004">
      <c r="A11" s="1" t="s">
        <v>21</v>
      </c>
      <c r="B11" s="9"/>
      <c r="C11" s="9">
        <v>5</v>
      </c>
      <c r="D11" s="9">
        <v>2</v>
      </c>
      <c r="E11" s="9">
        <v>7</v>
      </c>
    </row>
    <row r="12" spans="1:5" x14ac:dyDescent="0.55000000000000004">
      <c r="A12" s="1" t="s">
        <v>22</v>
      </c>
      <c r="B12" s="9"/>
      <c r="C12" s="9">
        <v>2</v>
      </c>
      <c r="D12" s="9">
        <v>1</v>
      </c>
      <c r="E12" s="9">
        <v>3</v>
      </c>
    </row>
    <row r="13" spans="1:5" x14ac:dyDescent="0.55000000000000004">
      <c r="A13" s="1" t="s">
        <v>23</v>
      </c>
      <c r="B13" s="9">
        <v>3</v>
      </c>
      <c r="C13" s="9">
        <v>2</v>
      </c>
      <c r="D13" s="9">
        <v>4</v>
      </c>
      <c r="E13" s="9">
        <v>9</v>
      </c>
    </row>
    <row r="14" spans="1:5" x14ac:dyDescent="0.55000000000000004">
      <c r="A14" s="1" t="s">
        <v>14</v>
      </c>
      <c r="B14" s="9">
        <v>5</v>
      </c>
      <c r="C14" s="9">
        <v>18</v>
      </c>
      <c r="D14" s="9">
        <v>22</v>
      </c>
      <c r="E14" s="9">
        <v>45</v>
      </c>
    </row>
    <row r="18" spans="1:1" x14ac:dyDescent="0.55000000000000004">
      <c r="A18" s="1"/>
    </row>
    <row r="19" spans="1:1" x14ac:dyDescent="0.55000000000000004">
      <c r="A19" s="1"/>
    </row>
    <row r="20" spans="1:1" x14ac:dyDescent="0.55000000000000004">
      <c r="A20" s="1"/>
    </row>
    <row r="21" spans="1:1" x14ac:dyDescent="0.55000000000000004">
      <c r="A21" s="1"/>
    </row>
    <row r="22" spans="1:1" x14ac:dyDescent="0.55000000000000004">
      <c r="A22" s="1"/>
    </row>
    <row r="23" spans="1:1" x14ac:dyDescent="0.55000000000000004">
      <c r="A23" s="1"/>
    </row>
    <row r="24" spans="1:1" x14ac:dyDescent="0.55000000000000004">
      <c r="A24" s="1"/>
    </row>
    <row r="25" spans="1:1" x14ac:dyDescent="0.55000000000000004">
      <c r="A25" s="1"/>
    </row>
    <row r="26" spans="1:1" x14ac:dyDescent="0.55000000000000004">
      <c r="A26" s="1"/>
    </row>
    <row r="27" spans="1:1" x14ac:dyDescent="0.55000000000000004">
      <c r="A27" s="1"/>
    </row>
  </sheetData>
  <pageMargins left="0.7" right="0.7" top="0.78740157500000008" bottom="0.78740157500000008"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workbookViewId="0">
      <selection activeCell="G21" sqref="G21"/>
    </sheetView>
  </sheetViews>
  <sheetFormatPr baseColWidth="10" defaultRowHeight="15.7" x14ac:dyDescent="0.55000000000000004"/>
  <cols>
    <col min="2" max="2" width="12.5546875" customWidth="1"/>
  </cols>
  <sheetData>
    <row r="1" spans="1:5" s="14" customFormat="1" x14ac:dyDescent="0.55000000000000004">
      <c r="A1" s="21" t="s">
        <v>24</v>
      </c>
      <c r="B1" s="22" t="s">
        <v>25</v>
      </c>
      <c r="C1" s="23" t="s">
        <v>26</v>
      </c>
      <c r="D1" s="24" t="s">
        <v>27</v>
      </c>
      <c r="E1" s="25" t="s">
        <v>28</v>
      </c>
    </row>
    <row r="2" spans="1:5" x14ac:dyDescent="0.55000000000000004">
      <c r="A2" s="26" t="s">
        <v>29</v>
      </c>
      <c r="B2" s="27" t="s">
        <v>30</v>
      </c>
      <c r="C2" s="14">
        <v>10</v>
      </c>
      <c r="D2" s="14">
        <v>10</v>
      </c>
      <c r="E2" s="28">
        <v>10</v>
      </c>
    </row>
    <row r="3" spans="1:5" x14ac:dyDescent="0.55000000000000004">
      <c r="A3" s="29"/>
      <c r="B3" s="8">
        <v>1</v>
      </c>
      <c r="C3" s="9">
        <v>3</v>
      </c>
      <c r="D3" s="9">
        <v>0</v>
      </c>
      <c r="E3" s="10">
        <v>0</v>
      </c>
    </row>
    <row r="4" spans="1:5" x14ac:dyDescent="0.55000000000000004">
      <c r="A4" s="29"/>
      <c r="B4" s="8">
        <v>2</v>
      </c>
      <c r="C4" s="9">
        <v>4</v>
      </c>
      <c r="D4" s="9">
        <v>7</v>
      </c>
      <c r="E4" s="10">
        <v>6</v>
      </c>
    </row>
    <row r="5" spans="1:5" x14ac:dyDescent="0.55000000000000004">
      <c r="A5" s="29"/>
      <c r="B5" s="8">
        <v>3</v>
      </c>
      <c r="C5" s="9">
        <v>3</v>
      </c>
      <c r="D5" s="9">
        <v>3</v>
      </c>
      <c r="E5" s="10">
        <v>4</v>
      </c>
    </row>
    <row r="6" spans="1:5" x14ac:dyDescent="0.55000000000000004">
      <c r="A6" s="30" t="s">
        <v>31</v>
      </c>
      <c r="B6" s="31" t="s">
        <v>30</v>
      </c>
      <c r="C6" s="32">
        <v>10</v>
      </c>
      <c r="D6" s="32">
        <v>10</v>
      </c>
      <c r="E6" s="33">
        <v>10</v>
      </c>
    </row>
    <row r="7" spans="1:5" x14ac:dyDescent="0.55000000000000004">
      <c r="A7" s="29"/>
      <c r="B7" s="8">
        <v>1</v>
      </c>
      <c r="C7" s="9">
        <v>2</v>
      </c>
      <c r="D7" s="9">
        <v>0</v>
      </c>
      <c r="E7" s="10">
        <v>0</v>
      </c>
    </row>
    <row r="8" spans="1:5" x14ac:dyDescent="0.55000000000000004">
      <c r="A8" s="29"/>
      <c r="B8" s="8">
        <v>2</v>
      </c>
      <c r="C8" s="9">
        <v>4</v>
      </c>
      <c r="D8" s="9">
        <v>5</v>
      </c>
      <c r="E8" s="10">
        <v>5</v>
      </c>
    </row>
    <row r="9" spans="1:5" x14ac:dyDescent="0.55000000000000004">
      <c r="A9" s="29"/>
      <c r="B9" s="8">
        <v>3</v>
      </c>
      <c r="C9" s="9">
        <v>4</v>
      </c>
      <c r="D9" s="9">
        <v>5</v>
      </c>
      <c r="E9" s="10">
        <v>5</v>
      </c>
    </row>
    <row r="10" spans="1:5" x14ac:dyDescent="0.55000000000000004">
      <c r="A10" s="30" t="s">
        <v>32</v>
      </c>
      <c r="B10" s="31" t="s">
        <v>30</v>
      </c>
      <c r="C10" s="32">
        <v>15</v>
      </c>
      <c r="D10" s="32">
        <v>15</v>
      </c>
      <c r="E10" s="33">
        <v>15</v>
      </c>
    </row>
    <row r="11" spans="1:5" x14ac:dyDescent="0.55000000000000004">
      <c r="A11" s="29"/>
      <c r="B11" s="8">
        <v>1</v>
      </c>
      <c r="C11" s="9">
        <v>5</v>
      </c>
      <c r="D11" s="9">
        <v>0</v>
      </c>
      <c r="E11" s="10">
        <v>0</v>
      </c>
    </row>
    <row r="12" spans="1:5" x14ac:dyDescent="0.55000000000000004">
      <c r="A12" s="29"/>
      <c r="B12" s="8">
        <v>2</v>
      </c>
      <c r="C12" s="9">
        <v>5</v>
      </c>
      <c r="D12" s="9">
        <v>11</v>
      </c>
      <c r="E12" s="10">
        <v>10</v>
      </c>
    </row>
    <row r="13" spans="1:5" x14ac:dyDescent="0.55000000000000004">
      <c r="A13" s="29"/>
      <c r="B13" s="8">
        <v>3</v>
      </c>
      <c r="C13" s="9">
        <v>5</v>
      </c>
      <c r="D13" s="9">
        <v>4</v>
      </c>
      <c r="E13" s="10">
        <v>5</v>
      </c>
    </row>
    <row r="14" spans="1:5" x14ac:dyDescent="0.55000000000000004">
      <c r="A14" s="30" t="s">
        <v>33</v>
      </c>
      <c r="B14" s="31" t="s">
        <v>30</v>
      </c>
      <c r="C14" s="32">
        <v>15</v>
      </c>
      <c r="D14" s="32">
        <v>15</v>
      </c>
      <c r="E14" s="33">
        <v>15</v>
      </c>
    </row>
    <row r="15" spans="1:5" x14ac:dyDescent="0.55000000000000004">
      <c r="A15" s="29"/>
      <c r="B15" s="8">
        <v>1</v>
      </c>
      <c r="C15" s="9">
        <v>4</v>
      </c>
      <c r="D15" s="9">
        <v>0</v>
      </c>
      <c r="E15" s="10">
        <v>0</v>
      </c>
    </row>
    <row r="16" spans="1:5" x14ac:dyDescent="0.55000000000000004">
      <c r="A16" s="29"/>
      <c r="B16" s="8">
        <v>2</v>
      </c>
      <c r="C16" s="9">
        <v>7</v>
      </c>
      <c r="D16" s="9">
        <v>9</v>
      </c>
      <c r="E16" s="10">
        <v>9</v>
      </c>
    </row>
    <row r="17" spans="1:5" x14ac:dyDescent="0.55000000000000004">
      <c r="A17" s="29"/>
      <c r="B17" s="8">
        <v>3</v>
      </c>
      <c r="C17" s="9">
        <v>4</v>
      </c>
      <c r="D17" s="9">
        <v>6</v>
      </c>
      <c r="E17" s="10">
        <v>6</v>
      </c>
    </row>
    <row r="18" spans="1:5" x14ac:dyDescent="0.55000000000000004">
      <c r="A18" s="34" t="s">
        <v>10</v>
      </c>
      <c r="B18" s="35"/>
      <c r="C18" s="36">
        <v>50</v>
      </c>
      <c r="D18" s="36">
        <v>50</v>
      </c>
      <c r="E18" s="37">
        <v>50</v>
      </c>
    </row>
  </sheetData>
  <pageMargins left="0.7" right="0.7" top="0.78740157500000008" bottom="0.78740157500000008"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6"/>
  <sheetViews>
    <sheetView zoomScale="70" workbookViewId="0">
      <selection activeCell="E13" sqref="E13"/>
    </sheetView>
  </sheetViews>
  <sheetFormatPr baseColWidth="10" defaultRowHeight="15.7" x14ac:dyDescent="0.55000000000000004"/>
  <cols>
    <col min="1" max="1" width="7.88671875" style="38" customWidth="1"/>
    <col min="2" max="2" width="12.5" customWidth="1"/>
    <col min="3" max="3" width="41.0546875" customWidth="1"/>
    <col min="4" max="4" width="24.71875" customWidth="1"/>
    <col min="5" max="5" width="35.6640625" customWidth="1"/>
    <col min="6" max="6" width="11.5" customWidth="1"/>
    <col min="7" max="7" width="41.38671875" customWidth="1"/>
    <col min="8" max="8" width="54.1640625" customWidth="1"/>
    <col min="9" max="9" width="88.5" customWidth="1"/>
    <col min="10" max="10" width="22" customWidth="1"/>
    <col min="11" max="11" width="22.88671875" customWidth="1"/>
    <col min="12" max="12" width="22.77734375" customWidth="1"/>
    <col min="13" max="13" width="21.71875" customWidth="1"/>
    <col min="14" max="14" width="28.5546875" customWidth="1"/>
    <col min="15" max="15" width="17.33203125" customWidth="1"/>
    <col min="16" max="16" width="17.21875" customWidth="1"/>
    <col min="17" max="17" width="18.5" customWidth="1"/>
    <col min="18" max="18" width="20.6640625" customWidth="1"/>
    <col min="19" max="19" width="22.88671875" customWidth="1"/>
    <col min="20" max="20" width="19.5546875" customWidth="1"/>
    <col min="21" max="21" width="36" customWidth="1"/>
  </cols>
  <sheetData>
    <row r="1" spans="1:21" s="39" customFormat="1" x14ac:dyDescent="0.55000000000000004">
      <c r="A1" s="40" t="s">
        <v>0</v>
      </c>
      <c r="B1" s="39" t="s">
        <v>34</v>
      </c>
      <c r="C1" s="39" t="s">
        <v>35</v>
      </c>
      <c r="D1" s="39" t="s">
        <v>36</v>
      </c>
      <c r="E1" s="39" t="s">
        <v>37</v>
      </c>
      <c r="F1" s="39" t="s">
        <v>38</v>
      </c>
      <c r="G1" s="39" t="s">
        <v>39</v>
      </c>
      <c r="H1" s="39" t="s">
        <v>40</v>
      </c>
      <c r="I1" s="39" t="s">
        <v>41</v>
      </c>
      <c r="J1" s="39" t="s">
        <v>42</v>
      </c>
      <c r="K1" s="39" t="s">
        <v>43</v>
      </c>
      <c r="L1" s="39" t="s">
        <v>44</v>
      </c>
      <c r="M1" s="39" t="s">
        <v>45</v>
      </c>
      <c r="N1" s="39" t="s">
        <v>46</v>
      </c>
      <c r="O1" s="39" t="s">
        <v>47</v>
      </c>
      <c r="P1" s="39" t="s">
        <v>48</v>
      </c>
      <c r="Q1" s="39" t="s">
        <v>49</v>
      </c>
      <c r="R1" s="39" t="s">
        <v>50</v>
      </c>
      <c r="S1" s="39" t="s">
        <v>51</v>
      </c>
      <c r="T1" s="39" t="s">
        <v>52</v>
      </c>
      <c r="U1" s="39" t="s">
        <v>53</v>
      </c>
    </row>
    <row r="2" spans="1:21" x14ac:dyDescent="0.55000000000000004">
      <c r="A2" s="41">
        <v>3</v>
      </c>
      <c r="B2" t="s">
        <v>54</v>
      </c>
      <c r="C2" t="s">
        <v>55</v>
      </c>
      <c r="E2" t="s">
        <v>18</v>
      </c>
      <c r="F2" t="s">
        <v>56</v>
      </c>
      <c r="G2" t="s">
        <v>57</v>
      </c>
      <c r="I2" t="s">
        <v>58</v>
      </c>
      <c r="J2" t="s">
        <v>59</v>
      </c>
      <c r="K2" t="s">
        <v>60</v>
      </c>
      <c r="M2" t="s">
        <v>60</v>
      </c>
      <c r="O2" t="s">
        <v>61</v>
      </c>
      <c r="P2" t="s">
        <v>60</v>
      </c>
      <c r="Q2" t="s">
        <v>60</v>
      </c>
      <c r="S2" t="s">
        <v>60</v>
      </c>
    </row>
    <row r="3" spans="1:21" x14ac:dyDescent="0.55000000000000004">
      <c r="A3" s="41">
        <v>3</v>
      </c>
      <c r="B3" t="s">
        <v>62</v>
      </c>
      <c r="C3" t="s">
        <v>63</v>
      </c>
      <c r="E3" t="s">
        <v>16</v>
      </c>
      <c r="F3" t="s">
        <v>56</v>
      </c>
      <c r="G3" t="s">
        <v>64</v>
      </c>
      <c r="J3" t="s">
        <v>59</v>
      </c>
      <c r="K3" t="s">
        <v>60</v>
      </c>
      <c r="M3" t="s">
        <v>65</v>
      </c>
      <c r="N3" t="s">
        <v>66</v>
      </c>
      <c r="O3" t="s">
        <v>67</v>
      </c>
      <c r="P3" t="s">
        <v>60</v>
      </c>
      <c r="Q3" t="s">
        <v>65</v>
      </c>
      <c r="S3" t="s">
        <v>60</v>
      </c>
    </row>
    <row r="4" spans="1:21" x14ac:dyDescent="0.55000000000000004">
      <c r="A4" s="41">
        <v>3</v>
      </c>
      <c r="B4" t="s">
        <v>68</v>
      </c>
      <c r="C4" t="s">
        <v>63</v>
      </c>
      <c r="E4" t="s">
        <v>16</v>
      </c>
      <c r="F4" t="s">
        <v>56</v>
      </c>
      <c r="G4" t="s">
        <v>57</v>
      </c>
      <c r="I4" t="s">
        <v>69</v>
      </c>
      <c r="J4" t="s">
        <v>59</v>
      </c>
      <c r="K4" t="s">
        <v>60</v>
      </c>
      <c r="L4" t="s">
        <v>70</v>
      </c>
      <c r="M4" t="s">
        <v>71</v>
      </c>
      <c r="N4" t="s">
        <v>72</v>
      </c>
      <c r="O4" t="s">
        <v>61</v>
      </c>
      <c r="P4" t="s">
        <v>60</v>
      </c>
      <c r="Q4" t="s">
        <v>71</v>
      </c>
      <c r="R4" t="s">
        <v>73</v>
      </c>
      <c r="S4" t="s">
        <v>60</v>
      </c>
    </row>
    <row r="5" spans="1:21" x14ac:dyDescent="0.55000000000000004">
      <c r="A5" s="41">
        <v>3</v>
      </c>
      <c r="B5" t="s">
        <v>74</v>
      </c>
      <c r="C5" t="s">
        <v>63</v>
      </c>
      <c r="E5" t="s">
        <v>17</v>
      </c>
      <c r="F5" t="s">
        <v>56</v>
      </c>
      <c r="G5" t="s">
        <v>57</v>
      </c>
      <c r="J5" t="s">
        <v>75</v>
      </c>
      <c r="K5" t="s">
        <v>76</v>
      </c>
      <c r="L5" t="s">
        <v>77</v>
      </c>
      <c r="M5" t="s">
        <v>76</v>
      </c>
      <c r="O5" t="s">
        <v>67</v>
      </c>
      <c r="P5" t="s">
        <v>60</v>
      </c>
      <c r="Q5" t="s">
        <v>60</v>
      </c>
      <c r="S5" t="s">
        <v>71</v>
      </c>
      <c r="U5" t="s">
        <v>78</v>
      </c>
    </row>
    <row r="6" spans="1:21" x14ac:dyDescent="0.55000000000000004">
      <c r="A6" s="41">
        <v>3</v>
      </c>
      <c r="B6" t="s">
        <v>79</v>
      </c>
      <c r="C6" t="s">
        <v>63</v>
      </c>
      <c r="E6" t="s">
        <v>23</v>
      </c>
      <c r="F6" t="s">
        <v>56</v>
      </c>
      <c r="G6" t="s">
        <v>80</v>
      </c>
      <c r="I6" t="s">
        <v>81</v>
      </c>
      <c r="J6" t="s">
        <v>82</v>
      </c>
      <c r="K6" t="s">
        <v>60</v>
      </c>
      <c r="L6" t="s">
        <v>83</v>
      </c>
      <c r="M6" t="s">
        <v>60</v>
      </c>
      <c r="O6" t="s">
        <v>67</v>
      </c>
      <c r="P6" t="s">
        <v>60</v>
      </c>
      <c r="Q6" t="s">
        <v>65</v>
      </c>
      <c r="R6" t="s">
        <v>84</v>
      </c>
      <c r="S6" t="s">
        <v>60</v>
      </c>
      <c r="T6" t="s">
        <v>85</v>
      </c>
      <c r="U6" t="s">
        <v>86</v>
      </c>
    </row>
    <row r="7" spans="1:21" x14ac:dyDescent="0.55000000000000004">
      <c r="A7" s="41">
        <v>3</v>
      </c>
      <c r="B7" t="s">
        <v>87</v>
      </c>
      <c r="C7" t="s">
        <v>63</v>
      </c>
      <c r="E7" t="s">
        <v>19</v>
      </c>
      <c r="F7" t="s">
        <v>56</v>
      </c>
      <c r="G7" t="s">
        <v>88</v>
      </c>
      <c r="H7" t="s">
        <v>89</v>
      </c>
      <c r="I7" t="s">
        <v>90</v>
      </c>
      <c r="J7" t="s">
        <v>82</v>
      </c>
      <c r="K7" t="s">
        <v>60</v>
      </c>
      <c r="M7" t="s">
        <v>65</v>
      </c>
      <c r="N7" t="s">
        <v>91</v>
      </c>
      <c r="O7" t="s">
        <v>61</v>
      </c>
      <c r="P7" t="s">
        <v>60</v>
      </c>
      <c r="Q7" t="s">
        <v>60</v>
      </c>
      <c r="S7" t="s">
        <v>60</v>
      </c>
      <c r="U7" t="s">
        <v>92</v>
      </c>
    </row>
    <row r="8" spans="1:21" x14ac:dyDescent="0.55000000000000004">
      <c r="A8" s="41">
        <v>3</v>
      </c>
      <c r="B8" t="s">
        <v>93</v>
      </c>
      <c r="C8" t="s">
        <v>88</v>
      </c>
      <c r="D8" t="s">
        <v>94</v>
      </c>
      <c r="E8" t="s">
        <v>18</v>
      </c>
      <c r="F8" t="s">
        <v>95</v>
      </c>
      <c r="G8" t="s">
        <v>88</v>
      </c>
      <c r="H8" t="s">
        <v>96</v>
      </c>
      <c r="I8" t="s">
        <v>97</v>
      </c>
      <c r="J8" t="s">
        <v>98</v>
      </c>
      <c r="K8" t="s">
        <v>60</v>
      </c>
      <c r="M8" t="s">
        <v>65</v>
      </c>
      <c r="O8" t="s">
        <v>61</v>
      </c>
      <c r="P8" t="s">
        <v>60</v>
      </c>
      <c r="Q8" t="s">
        <v>60</v>
      </c>
      <c r="S8" t="s">
        <v>60</v>
      </c>
      <c r="U8" t="s">
        <v>99</v>
      </c>
    </row>
    <row r="9" spans="1:21" x14ac:dyDescent="0.55000000000000004">
      <c r="A9" s="41">
        <v>3</v>
      </c>
      <c r="B9" t="s">
        <v>100</v>
      </c>
      <c r="C9" t="s">
        <v>88</v>
      </c>
      <c r="E9" t="s">
        <v>17</v>
      </c>
      <c r="F9" t="s">
        <v>56</v>
      </c>
      <c r="G9" t="s">
        <v>57</v>
      </c>
      <c r="J9" t="s">
        <v>82</v>
      </c>
      <c r="K9" t="s">
        <v>65</v>
      </c>
      <c r="M9" t="s">
        <v>65</v>
      </c>
      <c r="O9" t="s">
        <v>67</v>
      </c>
      <c r="P9" t="s">
        <v>60</v>
      </c>
      <c r="Q9" t="s">
        <v>60</v>
      </c>
      <c r="S9" t="s">
        <v>60</v>
      </c>
    </row>
    <row r="10" spans="1:21" x14ac:dyDescent="0.55000000000000004">
      <c r="A10" s="41">
        <v>3</v>
      </c>
      <c r="B10" t="s">
        <v>101</v>
      </c>
      <c r="C10" t="s">
        <v>55</v>
      </c>
      <c r="E10" t="s">
        <v>23</v>
      </c>
      <c r="F10" t="s">
        <v>56</v>
      </c>
      <c r="G10" t="s">
        <v>80</v>
      </c>
      <c r="I10" t="s">
        <v>102</v>
      </c>
      <c r="J10" t="s">
        <v>98</v>
      </c>
      <c r="K10" t="s">
        <v>65</v>
      </c>
      <c r="L10" t="s">
        <v>103</v>
      </c>
      <c r="M10" t="s">
        <v>60</v>
      </c>
      <c r="O10" t="s">
        <v>67</v>
      </c>
      <c r="P10" t="s">
        <v>60</v>
      </c>
      <c r="Q10" t="s">
        <v>60</v>
      </c>
      <c r="S10" t="s">
        <v>65</v>
      </c>
      <c r="U10" t="s">
        <v>104</v>
      </c>
    </row>
    <row r="11" spans="1:21" x14ac:dyDescent="0.55000000000000004">
      <c r="A11" s="41">
        <v>3</v>
      </c>
      <c r="B11" t="s">
        <v>105</v>
      </c>
      <c r="C11" t="s">
        <v>88</v>
      </c>
      <c r="D11" t="s">
        <v>106</v>
      </c>
      <c r="E11" t="s">
        <v>17</v>
      </c>
      <c r="F11" t="s">
        <v>95</v>
      </c>
      <c r="G11" t="s">
        <v>88</v>
      </c>
      <c r="H11" t="s">
        <v>107</v>
      </c>
      <c r="I11" t="s">
        <v>108</v>
      </c>
      <c r="J11" t="s">
        <v>82</v>
      </c>
      <c r="K11" t="s">
        <v>60</v>
      </c>
      <c r="M11" t="s">
        <v>60</v>
      </c>
      <c r="O11" t="s">
        <v>67</v>
      </c>
      <c r="P11" t="s">
        <v>60</v>
      </c>
      <c r="Q11" t="s">
        <v>60</v>
      </c>
      <c r="S11" t="s">
        <v>60</v>
      </c>
    </row>
    <row r="12" spans="1:21" x14ac:dyDescent="0.55000000000000004">
      <c r="A12" s="41">
        <v>3</v>
      </c>
      <c r="B12" t="s">
        <v>109</v>
      </c>
      <c r="C12" t="s">
        <v>63</v>
      </c>
      <c r="E12" t="s">
        <v>19</v>
      </c>
      <c r="F12" t="s">
        <v>95</v>
      </c>
      <c r="G12" t="s">
        <v>88</v>
      </c>
      <c r="H12" t="s">
        <v>110</v>
      </c>
      <c r="I12" t="s">
        <v>111</v>
      </c>
      <c r="J12" t="s">
        <v>75</v>
      </c>
      <c r="K12" t="s">
        <v>60</v>
      </c>
      <c r="M12" t="s">
        <v>60</v>
      </c>
      <c r="O12" t="s">
        <v>67</v>
      </c>
      <c r="P12" t="s">
        <v>65</v>
      </c>
      <c r="Q12" t="s">
        <v>60</v>
      </c>
      <c r="S12" t="s">
        <v>60</v>
      </c>
    </row>
    <row r="13" spans="1:21" x14ac:dyDescent="0.55000000000000004">
      <c r="A13" s="41">
        <v>3</v>
      </c>
      <c r="B13" t="s">
        <v>112</v>
      </c>
      <c r="C13" t="s">
        <v>63</v>
      </c>
      <c r="E13" t="s">
        <v>18</v>
      </c>
      <c r="F13" t="s">
        <v>56</v>
      </c>
      <c r="G13" t="s">
        <v>80</v>
      </c>
      <c r="I13" t="s">
        <v>113</v>
      </c>
      <c r="J13" t="s">
        <v>75</v>
      </c>
      <c r="K13" t="s">
        <v>60</v>
      </c>
      <c r="M13" t="s">
        <v>65</v>
      </c>
      <c r="O13" t="s">
        <v>67</v>
      </c>
      <c r="P13" t="s">
        <v>60</v>
      </c>
      <c r="Q13" t="s">
        <v>60</v>
      </c>
      <c r="S13" t="s">
        <v>60</v>
      </c>
    </row>
    <row r="14" spans="1:21" x14ac:dyDescent="0.55000000000000004">
      <c r="A14" s="41">
        <v>3</v>
      </c>
      <c r="B14" t="s">
        <v>114</v>
      </c>
      <c r="C14" t="s">
        <v>63</v>
      </c>
      <c r="E14" t="s">
        <v>23</v>
      </c>
      <c r="F14" t="s">
        <v>56</v>
      </c>
      <c r="G14" t="s">
        <v>88</v>
      </c>
      <c r="H14" t="s">
        <v>115</v>
      </c>
      <c r="I14" t="s">
        <v>116</v>
      </c>
      <c r="J14" t="s">
        <v>59</v>
      </c>
      <c r="K14" t="s">
        <v>65</v>
      </c>
      <c r="M14" t="s">
        <v>65</v>
      </c>
      <c r="O14" t="s">
        <v>61</v>
      </c>
      <c r="P14" t="s">
        <v>60</v>
      </c>
      <c r="Q14" t="s">
        <v>60</v>
      </c>
      <c r="S14" t="s">
        <v>65</v>
      </c>
    </row>
    <row r="15" spans="1:21" x14ac:dyDescent="0.55000000000000004">
      <c r="A15" s="41">
        <v>3</v>
      </c>
      <c r="B15" t="s">
        <v>117</v>
      </c>
      <c r="C15" t="s">
        <v>63</v>
      </c>
      <c r="E15" t="s">
        <v>18</v>
      </c>
      <c r="F15" t="s">
        <v>56</v>
      </c>
      <c r="G15" t="s">
        <v>88</v>
      </c>
      <c r="H15" t="s">
        <v>118</v>
      </c>
      <c r="I15" t="s">
        <v>119</v>
      </c>
      <c r="J15" t="s">
        <v>75</v>
      </c>
      <c r="K15" t="s">
        <v>76</v>
      </c>
      <c r="L15" t="s">
        <v>120</v>
      </c>
      <c r="M15" t="s">
        <v>60</v>
      </c>
      <c r="O15" t="s">
        <v>67</v>
      </c>
      <c r="P15" t="s">
        <v>65</v>
      </c>
      <c r="Q15" t="s">
        <v>60</v>
      </c>
      <c r="S15" t="s">
        <v>60</v>
      </c>
    </row>
    <row r="16" spans="1:21" x14ac:dyDescent="0.55000000000000004">
      <c r="A16" s="41">
        <v>3</v>
      </c>
      <c r="B16" t="s">
        <v>121</v>
      </c>
      <c r="C16" t="s">
        <v>63</v>
      </c>
      <c r="E16" t="s">
        <v>20</v>
      </c>
      <c r="F16" t="s">
        <v>56</v>
      </c>
      <c r="G16" t="s">
        <v>80</v>
      </c>
      <c r="J16" t="s">
        <v>75</v>
      </c>
      <c r="K16" t="s">
        <v>60</v>
      </c>
      <c r="M16" t="s">
        <v>60</v>
      </c>
      <c r="O16" t="s">
        <v>67</v>
      </c>
      <c r="P16" t="s">
        <v>60</v>
      </c>
      <c r="Q16" t="s">
        <v>60</v>
      </c>
      <c r="S16" t="s">
        <v>60</v>
      </c>
    </row>
    <row r="17" spans="1:21" x14ac:dyDescent="0.55000000000000004">
      <c r="A17" s="41">
        <v>3</v>
      </c>
      <c r="B17" t="s">
        <v>122</v>
      </c>
      <c r="C17" t="s">
        <v>63</v>
      </c>
      <c r="E17" t="s">
        <v>16</v>
      </c>
      <c r="F17" t="s">
        <v>56</v>
      </c>
      <c r="G17" t="s">
        <v>57</v>
      </c>
      <c r="I17" t="s">
        <v>123</v>
      </c>
      <c r="J17" t="s">
        <v>82</v>
      </c>
      <c r="K17" t="s">
        <v>65</v>
      </c>
      <c r="M17" t="s">
        <v>71</v>
      </c>
      <c r="O17" t="s">
        <v>67</v>
      </c>
      <c r="P17" t="s">
        <v>60</v>
      </c>
      <c r="Q17" t="s">
        <v>65</v>
      </c>
      <c r="S17" t="s">
        <v>65</v>
      </c>
    </row>
    <row r="18" spans="1:21" x14ac:dyDescent="0.55000000000000004">
      <c r="A18" s="41">
        <v>3</v>
      </c>
      <c r="B18" t="s">
        <v>124</v>
      </c>
      <c r="C18" t="s">
        <v>63</v>
      </c>
      <c r="E18" t="s">
        <v>15</v>
      </c>
      <c r="F18" t="s">
        <v>95</v>
      </c>
      <c r="G18" t="s">
        <v>88</v>
      </c>
      <c r="H18" t="s">
        <v>125</v>
      </c>
      <c r="I18" t="s">
        <v>126</v>
      </c>
      <c r="J18" t="s">
        <v>59</v>
      </c>
      <c r="K18" t="s">
        <v>60</v>
      </c>
      <c r="M18" t="s">
        <v>71</v>
      </c>
      <c r="N18" t="s">
        <v>127</v>
      </c>
      <c r="O18" t="s">
        <v>128</v>
      </c>
      <c r="P18" t="s">
        <v>60</v>
      </c>
      <c r="Q18" t="s">
        <v>65</v>
      </c>
      <c r="R18" t="s">
        <v>129</v>
      </c>
      <c r="S18" t="s">
        <v>60</v>
      </c>
      <c r="U18" t="s">
        <v>130</v>
      </c>
    </row>
    <row r="19" spans="1:21" x14ac:dyDescent="0.55000000000000004">
      <c r="A19" s="41">
        <v>3</v>
      </c>
      <c r="B19" t="s">
        <v>131</v>
      </c>
      <c r="C19" t="s">
        <v>63</v>
      </c>
      <c r="E19" t="s">
        <v>23</v>
      </c>
      <c r="F19" t="s">
        <v>95</v>
      </c>
      <c r="G19" t="s">
        <v>88</v>
      </c>
      <c r="H19" t="s">
        <v>132</v>
      </c>
      <c r="I19" t="s">
        <v>133</v>
      </c>
      <c r="J19" t="s">
        <v>59</v>
      </c>
      <c r="K19" t="s">
        <v>60</v>
      </c>
      <c r="M19" t="s">
        <v>65</v>
      </c>
      <c r="O19" t="s">
        <v>67</v>
      </c>
      <c r="P19" t="s">
        <v>60</v>
      </c>
      <c r="Q19" t="s">
        <v>65</v>
      </c>
      <c r="R19" t="s">
        <v>134</v>
      </c>
      <c r="S19" t="s">
        <v>65</v>
      </c>
      <c r="U19" t="s">
        <v>135</v>
      </c>
    </row>
    <row r="20" spans="1:21" x14ac:dyDescent="0.55000000000000004">
      <c r="A20" s="41">
        <v>3</v>
      </c>
      <c r="B20" t="s">
        <v>136</v>
      </c>
      <c r="C20" t="s">
        <v>88</v>
      </c>
      <c r="D20" t="s">
        <v>137</v>
      </c>
      <c r="E20" t="s">
        <v>21</v>
      </c>
      <c r="F20" t="s">
        <v>56</v>
      </c>
      <c r="G20" t="s">
        <v>88</v>
      </c>
      <c r="H20" t="s">
        <v>138</v>
      </c>
      <c r="I20" t="s">
        <v>139</v>
      </c>
      <c r="J20" t="s">
        <v>59</v>
      </c>
      <c r="K20" t="s">
        <v>60</v>
      </c>
      <c r="M20" t="s">
        <v>60</v>
      </c>
      <c r="O20" t="s">
        <v>61</v>
      </c>
      <c r="P20" t="s">
        <v>60</v>
      </c>
      <c r="Q20" t="s">
        <v>60</v>
      </c>
      <c r="S20" t="s">
        <v>60</v>
      </c>
      <c r="U20" t="s">
        <v>140</v>
      </c>
    </row>
    <row r="21" spans="1:21" x14ac:dyDescent="0.55000000000000004">
      <c r="A21" s="41">
        <v>3</v>
      </c>
      <c r="B21" t="s">
        <v>141</v>
      </c>
      <c r="C21" t="s">
        <v>63</v>
      </c>
      <c r="E21" t="s">
        <v>19</v>
      </c>
      <c r="F21" t="s">
        <v>95</v>
      </c>
      <c r="G21" t="s">
        <v>57</v>
      </c>
      <c r="I21" t="s">
        <v>142</v>
      </c>
      <c r="J21" t="s">
        <v>82</v>
      </c>
      <c r="K21" t="s">
        <v>71</v>
      </c>
      <c r="L21" t="s">
        <v>143</v>
      </c>
      <c r="M21" t="s">
        <v>65</v>
      </c>
      <c r="N21" t="s">
        <v>144</v>
      </c>
      <c r="O21" t="s">
        <v>67</v>
      </c>
      <c r="P21" t="s">
        <v>60</v>
      </c>
      <c r="Q21" t="s">
        <v>60</v>
      </c>
      <c r="S21" t="s">
        <v>60</v>
      </c>
      <c r="U21" t="s">
        <v>145</v>
      </c>
    </row>
    <row r="22" spans="1:21" x14ac:dyDescent="0.55000000000000004">
      <c r="A22" s="41">
        <v>3</v>
      </c>
      <c r="B22" t="s">
        <v>146</v>
      </c>
      <c r="C22" t="s">
        <v>88</v>
      </c>
      <c r="D22" t="s">
        <v>147</v>
      </c>
      <c r="E22" t="s">
        <v>22</v>
      </c>
      <c r="F22" t="s">
        <v>56</v>
      </c>
      <c r="G22" t="s">
        <v>88</v>
      </c>
      <c r="H22" t="s">
        <v>148</v>
      </c>
      <c r="I22" t="s">
        <v>149</v>
      </c>
      <c r="J22" t="s">
        <v>82</v>
      </c>
      <c r="K22" t="s">
        <v>60</v>
      </c>
      <c r="M22" t="s">
        <v>60</v>
      </c>
      <c r="O22" t="s">
        <v>61</v>
      </c>
      <c r="P22" t="s">
        <v>60</v>
      </c>
      <c r="Q22" t="s">
        <v>60</v>
      </c>
      <c r="S22" t="s">
        <v>60</v>
      </c>
      <c r="U22" t="s">
        <v>150</v>
      </c>
    </row>
    <row r="23" spans="1:21" x14ac:dyDescent="0.55000000000000004">
      <c r="A23" s="41">
        <v>3</v>
      </c>
      <c r="B23" t="s">
        <v>151</v>
      </c>
      <c r="C23" t="s">
        <v>88</v>
      </c>
      <c r="D23" t="s">
        <v>152</v>
      </c>
      <c r="E23" t="s">
        <v>21</v>
      </c>
      <c r="F23" t="s">
        <v>56</v>
      </c>
      <c r="G23" t="s">
        <v>88</v>
      </c>
      <c r="H23" t="s">
        <v>153</v>
      </c>
      <c r="I23" t="s">
        <v>154</v>
      </c>
      <c r="J23" t="s">
        <v>155</v>
      </c>
      <c r="K23" t="s">
        <v>71</v>
      </c>
      <c r="M23" t="s">
        <v>65</v>
      </c>
      <c r="O23" t="s">
        <v>67</v>
      </c>
      <c r="P23" t="s">
        <v>60</v>
      </c>
      <c r="Q23" t="s">
        <v>60</v>
      </c>
      <c r="S23" t="s">
        <v>76</v>
      </c>
      <c r="T23" t="s">
        <v>156</v>
      </c>
    </row>
    <row r="24" spans="1:21" s="9" customFormat="1" x14ac:dyDescent="0.55000000000000004">
      <c r="A24" s="42">
        <v>2</v>
      </c>
      <c r="B24" s="9" t="s">
        <v>54</v>
      </c>
      <c r="C24" s="9" t="s">
        <v>63</v>
      </c>
      <c r="E24" s="9" t="s">
        <v>18</v>
      </c>
      <c r="F24" s="9" t="s">
        <v>56</v>
      </c>
      <c r="G24" s="9" t="s">
        <v>157</v>
      </c>
      <c r="I24" s="9" t="s">
        <v>158</v>
      </c>
      <c r="J24" s="9" t="s">
        <v>75</v>
      </c>
      <c r="K24" s="9" t="s">
        <v>60</v>
      </c>
      <c r="M24" s="9" t="s">
        <v>65</v>
      </c>
      <c r="N24" s="9" t="s">
        <v>159</v>
      </c>
      <c r="O24" s="9" t="s">
        <v>61</v>
      </c>
      <c r="P24" s="9" t="s">
        <v>60</v>
      </c>
      <c r="Q24" s="9" t="s">
        <v>60</v>
      </c>
      <c r="S24" s="9" t="s">
        <v>60</v>
      </c>
    </row>
    <row r="25" spans="1:21" s="9" customFormat="1" x14ac:dyDescent="0.55000000000000004">
      <c r="A25" s="42">
        <v>2</v>
      </c>
      <c r="B25" s="9" t="s">
        <v>62</v>
      </c>
      <c r="C25" s="9" t="s">
        <v>88</v>
      </c>
      <c r="D25" s="9" t="s">
        <v>160</v>
      </c>
      <c r="E25" s="9" t="s">
        <v>22</v>
      </c>
      <c r="F25" s="9" t="s">
        <v>56</v>
      </c>
      <c r="G25" s="9" t="s">
        <v>88</v>
      </c>
      <c r="H25" s="9" t="s">
        <v>161</v>
      </c>
      <c r="I25" s="9" t="s">
        <v>162</v>
      </c>
      <c r="J25" s="9" t="s">
        <v>82</v>
      </c>
      <c r="K25" s="9" t="s">
        <v>60</v>
      </c>
      <c r="M25" s="9" t="s">
        <v>65</v>
      </c>
      <c r="O25" s="9" t="s">
        <v>67</v>
      </c>
      <c r="P25" s="9" t="s">
        <v>60</v>
      </c>
      <c r="Q25" s="9" t="s">
        <v>60</v>
      </c>
      <c r="S25" s="9" t="s">
        <v>60</v>
      </c>
      <c r="U25" s="9" t="s">
        <v>163</v>
      </c>
    </row>
    <row r="26" spans="1:21" s="9" customFormat="1" x14ac:dyDescent="0.55000000000000004">
      <c r="A26" s="42">
        <v>2</v>
      </c>
      <c r="B26" s="9" t="s">
        <v>68</v>
      </c>
      <c r="C26" s="9" t="s">
        <v>63</v>
      </c>
      <c r="E26" s="9" t="s">
        <v>19</v>
      </c>
      <c r="F26" s="9" t="s">
        <v>56</v>
      </c>
      <c r="G26" s="9" t="s">
        <v>57</v>
      </c>
      <c r="I26" s="9" t="s">
        <v>164</v>
      </c>
      <c r="J26" s="9" t="s">
        <v>59</v>
      </c>
      <c r="K26" s="9" t="s">
        <v>60</v>
      </c>
      <c r="L26" s="9" t="s">
        <v>165</v>
      </c>
      <c r="M26" s="9" t="s">
        <v>60</v>
      </c>
      <c r="O26" s="9" t="s">
        <v>67</v>
      </c>
      <c r="P26" s="9" t="s">
        <v>60</v>
      </c>
      <c r="Q26" s="9" t="s">
        <v>60</v>
      </c>
      <c r="S26" s="9" t="s">
        <v>60</v>
      </c>
    </row>
    <row r="27" spans="1:21" s="9" customFormat="1" x14ac:dyDescent="0.55000000000000004">
      <c r="A27" s="42">
        <v>2</v>
      </c>
      <c r="B27" s="9" t="s">
        <v>74</v>
      </c>
      <c r="C27" s="9" t="s">
        <v>63</v>
      </c>
      <c r="E27" s="9" t="s">
        <v>23</v>
      </c>
      <c r="F27" s="9" t="s">
        <v>56</v>
      </c>
      <c r="G27" s="9" t="s">
        <v>166</v>
      </c>
      <c r="H27" s="9" t="s">
        <v>167</v>
      </c>
      <c r="I27" s="9" t="s">
        <v>168</v>
      </c>
      <c r="J27" s="9" t="s">
        <v>82</v>
      </c>
      <c r="K27" s="9" t="s">
        <v>60</v>
      </c>
      <c r="L27" s="9" t="s">
        <v>169</v>
      </c>
      <c r="M27" s="9" t="s">
        <v>65</v>
      </c>
      <c r="N27" s="9" t="s">
        <v>170</v>
      </c>
      <c r="O27" s="9" t="s">
        <v>171</v>
      </c>
      <c r="P27" s="9" t="s">
        <v>60</v>
      </c>
      <c r="Q27" s="9" t="s">
        <v>60</v>
      </c>
      <c r="R27" s="9" t="s">
        <v>172</v>
      </c>
      <c r="S27" s="9" t="s">
        <v>60</v>
      </c>
      <c r="T27" s="9" t="s">
        <v>173</v>
      </c>
      <c r="U27" s="9" t="s">
        <v>174</v>
      </c>
    </row>
    <row r="28" spans="1:21" s="9" customFormat="1" x14ac:dyDescent="0.55000000000000004">
      <c r="A28" s="42">
        <v>2</v>
      </c>
      <c r="B28" s="9" t="s">
        <v>79</v>
      </c>
      <c r="C28" s="9" t="s">
        <v>63</v>
      </c>
      <c r="E28" s="9" t="s">
        <v>23</v>
      </c>
      <c r="F28" s="9" t="s">
        <v>56</v>
      </c>
      <c r="G28" s="9" t="s">
        <v>166</v>
      </c>
      <c r="H28" s="9" t="s">
        <v>167</v>
      </c>
      <c r="I28" s="9" t="s">
        <v>175</v>
      </c>
      <c r="J28" s="9" t="s">
        <v>59</v>
      </c>
      <c r="K28" s="9" t="s">
        <v>65</v>
      </c>
      <c r="L28" s="9" t="s">
        <v>176</v>
      </c>
      <c r="M28" s="9" t="s">
        <v>65</v>
      </c>
      <c r="N28" s="9" t="s">
        <v>177</v>
      </c>
      <c r="O28" s="9" t="s">
        <v>61</v>
      </c>
      <c r="P28" s="9" t="s">
        <v>60</v>
      </c>
      <c r="Q28" s="9" t="s">
        <v>60</v>
      </c>
      <c r="R28" s="9" t="s">
        <v>178</v>
      </c>
      <c r="S28" s="9" t="s">
        <v>60</v>
      </c>
      <c r="T28" s="9" t="s">
        <v>179</v>
      </c>
      <c r="U28" s="9" t="s">
        <v>180</v>
      </c>
    </row>
    <row r="29" spans="1:21" s="9" customFormat="1" x14ac:dyDescent="0.55000000000000004">
      <c r="A29" s="42">
        <v>2</v>
      </c>
      <c r="B29" s="9" t="s">
        <v>87</v>
      </c>
      <c r="C29" s="9" t="s">
        <v>63</v>
      </c>
      <c r="E29" s="9" t="s">
        <v>17</v>
      </c>
      <c r="F29" s="9" t="s">
        <v>56</v>
      </c>
      <c r="G29" s="9" t="s">
        <v>88</v>
      </c>
      <c r="H29" s="9" t="s">
        <v>153</v>
      </c>
      <c r="I29" s="9" t="s">
        <v>181</v>
      </c>
      <c r="J29" s="9" t="s">
        <v>82</v>
      </c>
      <c r="K29" s="9" t="s">
        <v>60</v>
      </c>
      <c r="M29" s="9" t="s">
        <v>65</v>
      </c>
      <c r="O29" s="9" t="s">
        <v>61</v>
      </c>
      <c r="P29" s="9" t="s">
        <v>60</v>
      </c>
      <c r="Q29" s="9" t="s">
        <v>60</v>
      </c>
      <c r="S29" s="9" t="s">
        <v>60</v>
      </c>
      <c r="U29" s="9" t="s">
        <v>182</v>
      </c>
    </row>
    <row r="30" spans="1:21" s="9" customFormat="1" x14ac:dyDescent="0.55000000000000004">
      <c r="A30" s="42">
        <v>2</v>
      </c>
      <c r="B30" s="9" t="s">
        <v>93</v>
      </c>
      <c r="C30" s="9" t="s">
        <v>63</v>
      </c>
      <c r="E30" s="9" t="s">
        <v>19</v>
      </c>
      <c r="F30" s="9" t="s">
        <v>56</v>
      </c>
      <c r="G30" s="9" t="s">
        <v>183</v>
      </c>
      <c r="H30" s="9" t="s">
        <v>184</v>
      </c>
      <c r="I30" s="9" t="s">
        <v>185</v>
      </c>
      <c r="J30" s="9" t="s">
        <v>59</v>
      </c>
      <c r="K30" s="9" t="s">
        <v>65</v>
      </c>
      <c r="M30" s="9" t="s">
        <v>71</v>
      </c>
      <c r="N30" s="9" t="s">
        <v>186</v>
      </c>
      <c r="O30" s="9" t="s">
        <v>61</v>
      </c>
      <c r="P30" s="9" t="s">
        <v>60</v>
      </c>
      <c r="Q30" s="9" t="s">
        <v>60</v>
      </c>
      <c r="S30" s="9" t="s">
        <v>60</v>
      </c>
    </row>
    <row r="31" spans="1:21" s="9" customFormat="1" x14ac:dyDescent="0.55000000000000004">
      <c r="A31" s="42">
        <v>2</v>
      </c>
      <c r="B31" s="9" t="s">
        <v>100</v>
      </c>
      <c r="C31" s="9" t="s">
        <v>55</v>
      </c>
      <c r="E31" s="9" t="s">
        <v>18</v>
      </c>
      <c r="F31" s="9" t="s">
        <v>56</v>
      </c>
      <c r="G31" s="9" t="s">
        <v>80</v>
      </c>
      <c r="I31" s="9" t="s">
        <v>187</v>
      </c>
      <c r="J31" s="9" t="s">
        <v>75</v>
      </c>
      <c r="K31" s="9" t="s">
        <v>60</v>
      </c>
      <c r="M31" s="9" t="s">
        <v>65</v>
      </c>
      <c r="O31" s="9" t="s">
        <v>67</v>
      </c>
      <c r="P31" s="9" t="s">
        <v>60</v>
      </c>
      <c r="Q31" s="9" t="s">
        <v>60</v>
      </c>
      <c r="S31" s="9" t="s">
        <v>60</v>
      </c>
    </row>
    <row r="32" spans="1:21" s="9" customFormat="1" x14ac:dyDescent="0.55000000000000004">
      <c r="A32" s="42">
        <v>2</v>
      </c>
      <c r="B32" s="9" t="s">
        <v>101</v>
      </c>
      <c r="C32" s="9" t="s">
        <v>55</v>
      </c>
      <c r="E32" s="9" t="s">
        <v>19</v>
      </c>
      <c r="F32" s="9" t="s">
        <v>56</v>
      </c>
      <c r="G32" s="9" t="s">
        <v>88</v>
      </c>
      <c r="H32" s="9" t="s">
        <v>188</v>
      </c>
      <c r="I32" s="9" t="s">
        <v>189</v>
      </c>
      <c r="J32" s="9" t="s">
        <v>82</v>
      </c>
      <c r="K32" s="9" t="s">
        <v>60</v>
      </c>
      <c r="M32" s="9" t="s">
        <v>65</v>
      </c>
      <c r="N32" s="9" t="s">
        <v>190</v>
      </c>
      <c r="O32" s="9" t="s">
        <v>61</v>
      </c>
      <c r="P32" s="9" t="s">
        <v>60</v>
      </c>
      <c r="Q32" s="9" t="s">
        <v>60</v>
      </c>
      <c r="S32" s="9" t="s">
        <v>60</v>
      </c>
    </row>
    <row r="33" spans="1:21" s="9" customFormat="1" x14ac:dyDescent="0.55000000000000004">
      <c r="A33" s="42">
        <v>2</v>
      </c>
      <c r="B33" s="9" t="s">
        <v>105</v>
      </c>
      <c r="C33" s="9" t="s">
        <v>63</v>
      </c>
      <c r="E33" s="9" t="s">
        <v>22</v>
      </c>
      <c r="F33" s="9" t="s">
        <v>56</v>
      </c>
      <c r="G33" s="9" t="s">
        <v>88</v>
      </c>
      <c r="H33" s="9" t="s">
        <v>191</v>
      </c>
      <c r="I33" s="9" t="s">
        <v>192</v>
      </c>
      <c r="J33" s="9" t="s">
        <v>82</v>
      </c>
      <c r="K33" s="9" t="s">
        <v>71</v>
      </c>
      <c r="M33" s="9" t="s">
        <v>65</v>
      </c>
      <c r="O33" s="9" t="s">
        <v>67</v>
      </c>
      <c r="P33" s="9" t="s">
        <v>60</v>
      </c>
      <c r="Q33" s="9" t="s">
        <v>60</v>
      </c>
      <c r="S33" s="9" t="s">
        <v>60</v>
      </c>
    </row>
    <row r="34" spans="1:21" s="9" customFormat="1" x14ac:dyDescent="0.55000000000000004">
      <c r="A34" s="42">
        <v>2</v>
      </c>
      <c r="B34" s="9" t="s">
        <v>109</v>
      </c>
      <c r="C34" s="9" t="s">
        <v>63</v>
      </c>
      <c r="E34" s="9" t="s">
        <v>18</v>
      </c>
      <c r="F34" s="9" t="s">
        <v>56</v>
      </c>
      <c r="G34" s="9" t="s">
        <v>88</v>
      </c>
      <c r="H34" s="9" t="s">
        <v>193</v>
      </c>
      <c r="I34" s="9" t="s">
        <v>194</v>
      </c>
      <c r="J34" s="9" t="s">
        <v>59</v>
      </c>
      <c r="K34" s="9" t="s">
        <v>60</v>
      </c>
      <c r="L34" s="9" t="s">
        <v>195</v>
      </c>
      <c r="M34" s="9" t="s">
        <v>65</v>
      </c>
      <c r="O34" s="9" t="s">
        <v>61</v>
      </c>
      <c r="P34" s="9" t="s">
        <v>60</v>
      </c>
      <c r="Q34" s="9" t="s">
        <v>60</v>
      </c>
      <c r="S34" s="9" t="s">
        <v>60</v>
      </c>
    </row>
    <row r="35" spans="1:21" s="9" customFormat="1" x14ac:dyDescent="0.55000000000000004">
      <c r="A35" s="42">
        <v>2</v>
      </c>
      <c r="B35" s="9" t="s">
        <v>112</v>
      </c>
      <c r="C35" s="9" t="s">
        <v>63</v>
      </c>
      <c r="E35" s="9" t="s">
        <v>19</v>
      </c>
      <c r="F35" s="9" t="s">
        <v>56</v>
      </c>
      <c r="G35" s="9" t="s">
        <v>183</v>
      </c>
      <c r="H35" s="9" t="s">
        <v>196</v>
      </c>
      <c r="I35" s="9" t="s">
        <v>197</v>
      </c>
      <c r="J35" s="9" t="s">
        <v>75</v>
      </c>
      <c r="K35" s="9" t="s">
        <v>60</v>
      </c>
      <c r="L35" s="9" t="s">
        <v>198</v>
      </c>
      <c r="M35" s="9" t="s">
        <v>65</v>
      </c>
      <c r="O35" s="9" t="s">
        <v>67</v>
      </c>
      <c r="P35" s="9" t="s">
        <v>60</v>
      </c>
      <c r="Q35" s="9" t="s">
        <v>60</v>
      </c>
      <c r="R35" s="9" t="s">
        <v>199</v>
      </c>
      <c r="S35" s="9" t="s">
        <v>60</v>
      </c>
      <c r="T35" s="9" t="s">
        <v>200</v>
      </c>
    </row>
    <row r="36" spans="1:21" s="9" customFormat="1" x14ac:dyDescent="0.55000000000000004">
      <c r="A36" s="42">
        <v>2</v>
      </c>
      <c r="B36" s="9" t="s">
        <v>114</v>
      </c>
      <c r="C36" s="9" t="s">
        <v>63</v>
      </c>
      <c r="E36" s="9" t="s">
        <v>21</v>
      </c>
      <c r="F36" s="9" t="s">
        <v>95</v>
      </c>
      <c r="G36" s="9" t="s">
        <v>88</v>
      </c>
      <c r="H36" s="9" t="s">
        <v>201</v>
      </c>
      <c r="I36" s="9" t="s">
        <v>202</v>
      </c>
      <c r="J36" s="9" t="s">
        <v>98</v>
      </c>
      <c r="K36" s="9" t="s">
        <v>65</v>
      </c>
      <c r="L36" s="9" t="s">
        <v>203</v>
      </c>
      <c r="M36" s="9" t="s">
        <v>65</v>
      </c>
      <c r="N36" s="9" t="s">
        <v>204</v>
      </c>
      <c r="O36" s="9" t="s">
        <v>61</v>
      </c>
      <c r="P36" s="9" t="s">
        <v>60</v>
      </c>
      <c r="Q36" s="9" t="s">
        <v>60</v>
      </c>
      <c r="R36" s="9" t="s">
        <v>205</v>
      </c>
      <c r="S36" s="9" t="s">
        <v>60</v>
      </c>
      <c r="T36" s="9" t="s">
        <v>206</v>
      </c>
      <c r="U36" s="9" t="s">
        <v>207</v>
      </c>
    </row>
    <row r="37" spans="1:21" s="9" customFormat="1" x14ac:dyDescent="0.55000000000000004">
      <c r="A37" s="42">
        <v>2</v>
      </c>
      <c r="B37" s="9" t="s">
        <v>117</v>
      </c>
      <c r="C37" s="9" t="s">
        <v>63</v>
      </c>
      <c r="E37" s="9" t="s">
        <v>19</v>
      </c>
      <c r="F37" s="9" t="s">
        <v>56</v>
      </c>
      <c r="G37" s="9" t="s">
        <v>88</v>
      </c>
      <c r="H37" s="9" t="s">
        <v>208</v>
      </c>
      <c r="I37" s="9" t="s">
        <v>209</v>
      </c>
      <c r="J37" s="9" t="s">
        <v>59</v>
      </c>
      <c r="K37" s="9" t="s">
        <v>60</v>
      </c>
      <c r="M37" s="9" t="s">
        <v>60</v>
      </c>
      <c r="O37" s="9" t="s">
        <v>67</v>
      </c>
      <c r="P37" s="9" t="s">
        <v>60</v>
      </c>
      <c r="Q37" s="9" t="s">
        <v>60</v>
      </c>
      <c r="S37" s="9" t="s">
        <v>60</v>
      </c>
    </row>
    <row r="38" spans="1:21" s="9" customFormat="1" x14ac:dyDescent="0.55000000000000004">
      <c r="A38" s="42">
        <v>2</v>
      </c>
      <c r="B38" s="9" t="s">
        <v>121</v>
      </c>
      <c r="C38" s="9" t="s">
        <v>63</v>
      </c>
      <c r="E38" s="9" t="s">
        <v>21</v>
      </c>
      <c r="F38" s="9" t="s">
        <v>56</v>
      </c>
      <c r="G38" s="9" t="s">
        <v>57</v>
      </c>
      <c r="I38" s="9" t="s">
        <v>210</v>
      </c>
      <c r="J38" s="9" t="s">
        <v>75</v>
      </c>
      <c r="K38" s="9" t="s">
        <v>60</v>
      </c>
      <c r="M38" s="9" t="s">
        <v>60</v>
      </c>
      <c r="O38" s="9" t="s">
        <v>171</v>
      </c>
      <c r="P38" s="9" t="s">
        <v>60</v>
      </c>
      <c r="Q38" s="9" t="s">
        <v>60</v>
      </c>
      <c r="R38" s="9" t="s">
        <v>211</v>
      </c>
      <c r="S38" s="9" t="s">
        <v>60</v>
      </c>
      <c r="T38" s="9" t="s">
        <v>212</v>
      </c>
      <c r="U38" s="9" t="s">
        <v>213</v>
      </c>
    </row>
    <row r="39" spans="1:21" s="9" customFormat="1" x14ac:dyDescent="0.55000000000000004">
      <c r="A39" s="42">
        <v>2</v>
      </c>
      <c r="B39" s="9" t="s">
        <v>122</v>
      </c>
      <c r="C39" s="9" t="s">
        <v>63</v>
      </c>
      <c r="E39" s="9" t="s">
        <v>21</v>
      </c>
      <c r="F39" s="9" t="s">
        <v>56</v>
      </c>
      <c r="G39" s="9" t="s">
        <v>88</v>
      </c>
      <c r="H39" s="9" t="s">
        <v>214</v>
      </c>
      <c r="I39" s="9" t="s">
        <v>215</v>
      </c>
      <c r="J39" s="9" t="s">
        <v>75</v>
      </c>
      <c r="K39" s="9" t="s">
        <v>65</v>
      </c>
      <c r="L39" s="9" t="s">
        <v>216</v>
      </c>
      <c r="M39" s="9" t="s">
        <v>60</v>
      </c>
      <c r="O39" s="9" t="s">
        <v>61</v>
      </c>
      <c r="P39" s="9" t="s">
        <v>60</v>
      </c>
      <c r="Q39" s="9" t="s">
        <v>60</v>
      </c>
      <c r="S39" s="9" t="s">
        <v>60</v>
      </c>
      <c r="U39" s="9" t="s">
        <v>217</v>
      </c>
    </row>
    <row r="40" spans="1:21" s="9" customFormat="1" x14ac:dyDescent="0.55000000000000004">
      <c r="A40" s="42">
        <v>2</v>
      </c>
      <c r="B40" s="9" t="s">
        <v>124</v>
      </c>
      <c r="C40" s="9" t="s">
        <v>63</v>
      </c>
      <c r="E40" s="9" t="s">
        <v>21</v>
      </c>
      <c r="F40" s="9" t="s">
        <v>56</v>
      </c>
      <c r="G40" s="9" t="s">
        <v>88</v>
      </c>
      <c r="H40" s="9" t="s">
        <v>132</v>
      </c>
      <c r="I40" s="9" t="s">
        <v>218</v>
      </c>
      <c r="J40" s="9" t="s">
        <v>59</v>
      </c>
      <c r="K40" s="9" t="s">
        <v>60</v>
      </c>
      <c r="M40" s="9" t="s">
        <v>71</v>
      </c>
      <c r="N40" s="9" t="s">
        <v>219</v>
      </c>
      <c r="O40" s="9" t="s">
        <v>61</v>
      </c>
      <c r="P40" s="9" t="s">
        <v>60</v>
      </c>
      <c r="Q40" s="9" t="s">
        <v>60</v>
      </c>
      <c r="S40" s="9" t="s">
        <v>60</v>
      </c>
      <c r="U40" s="9" t="s">
        <v>220</v>
      </c>
    </row>
    <row r="41" spans="1:21" s="9" customFormat="1" x14ac:dyDescent="0.55000000000000004">
      <c r="A41" s="42">
        <v>2</v>
      </c>
      <c r="B41" s="9" t="s">
        <v>131</v>
      </c>
      <c r="C41" s="9" t="s">
        <v>63</v>
      </c>
      <c r="E41" s="9" t="s">
        <v>21</v>
      </c>
      <c r="G41" s="9" t="s">
        <v>88</v>
      </c>
      <c r="H41" s="9" t="s">
        <v>221</v>
      </c>
      <c r="I41" s="9" t="s">
        <v>222</v>
      </c>
      <c r="J41" s="9" t="s">
        <v>59</v>
      </c>
      <c r="K41" s="9" t="s">
        <v>60</v>
      </c>
      <c r="M41" s="9" t="s">
        <v>60</v>
      </c>
      <c r="O41" s="9" t="s">
        <v>61</v>
      </c>
      <c r="P41" s="9" t="s">
        <v>60</v>
      </c>
      <c r="Q41" s="9" t="s">
        <v>60</v>
      </c>
      <c r="S41" s="9" t="s">
        <v>60</v>
      </c>
      <c r="U41" s="9" t="s">
        <v>223</v>
      </c>
    </row>
    <row r="42" spans="1:21" s="9" customFormat="1" x14ac:dyDescent="0.55000000000000004">
      <c r="A42" s="43">
        <v>1</v>
      </c>
      <c r="B42" s="9" t="s">
        <v>54</v>
      </c>
      <c r="C42" s="9" t="s">
        <v>63</v>
      </c>
      <c r="E42" s="9" t="s">
        <v>23</v>
      </c>
      <c r="F42" s="9" t="s">
        <v>56</v>
      </c>
      <c r="G42" s="9" t="s">
        <v>57</v>
      </c>
      <c r="I42" s="9" t="s">
        <v>224</v>
      </c>
      <c r="J42" s="9" t="s">
        <v>59</v>
      </c>
      <c r="K42" s="9" t="s">
        <v>60</v>
      </c>
      <c r="M42" s="9" t="s">
        <v>60</v>
      </c>
      <c r="O42" s="9" t="s">
        <v>61</v>
      </c>
      <c r="P42" s="9" t="s">
        <v>60</v>
      </c>
      <c r="Q42" s="9" t="s">
        <v>60</v>
      </c>
      <c r="S42" s="9" t="s">
        <v>60</v>
      </c>
      <c r="U42" s="9" t="s">
        <v>225</v>
      </c>
    </row>
    <row r="43" spans="1:21" s="9" customFormat="1" x14ac:dyDescent="0.55000000000000004">
      <c r="A43" s="43">
        <v>1</v>
      </c>
      <c r="B43" s="9" t="s">
        <v>62</v>
      </c>
      <c r="C43" s="9" t="s">
        <v>63</v>
      </c>
      <c r="E43" s="9" t="s">
        <v>18</v>
      </c>
      <c r="F43" s="9" t="s">
        <v>56</v>
      </c>
      <c r="G43" s="9" t="s">
        <v>226</v>
      </c>
      <c r="I43" s="9" t="s">
        <v>227</v>
      </c>
      <c r="J43" s="9" t="s">
        <v>82</v>
      </c>
      <c r="K43" s="9" t="s">
        <v>65</v>
      </c>
      <c r="L43" s="9" t="s">
        <v>228</v>
      </c>
      <c r="M43" s="9" t="s">
        <v>65</v>
      </c>
      <c r="O43" s="9" t="s">
        <v>67</v>
      </c>
      <c r="P43" s="9" t="s">
        <v>60</v>
      </c>
      <c r="Q43" s="9" t="s">
        <v>60</v>
      </c>
      <c r="S43" s="9" t="s">
        <v>60</v>
      </c>
    </row>
    <row r="44" spans="1:21" s="9" customFormat="1" x14ac:dyDescent="0.55000000000000004">
      <c r="A44" s="43">
        <v>1</v>
      </c>
      <c r="B44" s="9" t="s">
        <v>68</v>
      </c>
      <c r="C44" s="9" t="s">
        <v>55</v>
      </c>
      <c r="E44" s="9" t="s">
        <v>18</v>
      </c>
      <c r="F44" s="9" t="s">
        <v>56</v>
      </c>
      <c r="G44" s="9" t="s">
        <v>57</v>
      </c>
      <c r="I44" s="9" t="s">
        <v>229</v>
      </c>
      <c r="J44" s="9" t="s">
        <v>75</v>
      </c>
      <c r="K44" s="9" t="s">
        <v>60</v>
      </c>
      <c r="M44" s="9" t="s">
        <v>60</v>
      </c>
      <c r="O44" s="9" t="s">
        <v>61</v>
      </c>
      <c r="P44" s="9" t="s">
        <v>60</v>
      </c>
      <c r="Q44" s="9" t="s">
        <v>60</v>
      </c>
      <c r="S44" s="9" t="s">
        <v>60</v>
      </c>
      <c r="U44" s="9" t="s">
        <v>230</v>
      </c>
    </row>
    <row r="45" spans="1:21" s="9" customFormat="1" x14ac:dyDescent="0.55000000000000004">
      <c r="A45" s="43">
        <v>1</v>
      </c>
      <c r="B45" s="9" t="s">
        <v>74</v>
      </c>
      <c r="C45" s="9" t="s">
        <v>55</v>
      </c>
      <c r="E45" s="9" t="s">
        <v>23</v>
      </c>
      <c r="F45" s="9" t="s">
        <v>56</v>
      </c>
      <c r="G45" s="9" t="s">
        <v>88</v>
      </c>
      <c r="H45" s="9" t="s">
        <v>231</v>
      </c>
      <c r="I45" s="9" t="s">
        <v>232</v>
      </c>
      <c r="J45" s="9" t="s">
        <v>75</v>
      </c>
      <c r="K45" s="9" t="s">
        <v>60</v>
      </c>
      <c r="M45" s="9" t="s">
        <v>60</v>
      </c>
      <c r="O45" s="9" t="s">
        <v>171</v>
      </c>
      <c r="P45" s="9" t="s">
        <v>60</v>
      </c>
      <c r="Q45" s="9" t="s">
        <v>60</v>
      </c>
      <c r="S45" s="9" t="s">
        <v>65</v>
      </c>
      <c r="T45" s="9" t="s">
        <v>233</v>
      </c>
    </row>
    <row r="46" spans="1:21" s="9" customFormat="1" x14ac:dyDescent="0.55000000000000004">
      <c r="A46" s="43">
        <v>1</v>
      </c>
      <c r="B46" s="9" t="s">
        <v>79</v>
      </c>
      <c r="C46" s="9" t="s">
        <v>88</v>
      </c>
      <c r="D46" s="9" t="s">
        <v>234</v>
      </c>
      <c r="E46" s="9" t="s">
        <v>23</v>
      </c>
      <c r="F46" s="9" t="s">
        <v>56</v>
      </c>
      <c r="G46" s="9" t="s">
        <v>88</v>
      </c>
      <c r="H46" s="9" t="s">
        <v>235</v>
      </c>
      <c r="I46" s="9" t="s">
        <v>236</v>
      </c>
      <c r="J46" s="9" t="s">
        <v>59</v>
      </c>
      <c r="K46" s="9" t="s">
        <v>60</v>
      </c>
      <c r="M46" s="9" t="s">
        <v>60</v>
      </c>
      <c r="O46" s="9" t="s">
        <v>61</v>
      </c>
      <c r="P46" s="9" t="s">
        <v>60</v>
      </c>
      <c r="Q46" s="9" t="s">
        <v>60</v>
      </c>
      <c r="S46" s="9" t="s">
        <v>60</v>
      </c>
    </row>
  </sheetData>
  <pageMargins left="0.7" right="0.7" top="0.78740157500000008" bottom="0.78740157500000008"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9"/>
  <sheetViews>
    <sheetView workbookViewId="0">
      <selection activeCell="B5" sqref="B5"/>
    </sheetView>
  </sheetViews>
  <sheetFormatPr baseColWidth="10" defaultRowHeight="15.7" x14ac:dyDescent="0.55000000000000004"/>
  <cols>
    <col min="1" max="1" width="51.44140625" bestFit="1" customWidth="1"/>
    <col min="2" max="2" width="10.33203125" customWidth="1"/>
    <col min="3" max="3" width="22.44140625" customWidth="1"/>
    <col min="4" max="4" width="17.0546875" bestFit="1" customWidth="1"/>
    <col min="5" max="5" width="91.1640625" bestFit="1" customWidth="1"/>
  </cols>
  <sheetData>
    <row r="3" spans="1:5" x14ac:dyDescent="0.55000000000000004">
      <c r="A3" s="20" t="s">
        <v>13</v>
      </c>
      <c r="B3" t="s">
        <v>237</v>
      </c>
      <c r="E3" s="20" t="s">
        <v>88</v>
      </c>
    </row>
    <row r="4" spans="1:5" x14ac:dyDescent="0.55000000000000004">
      <c r="A4" s="1" t="s">
        <v>63</v>
      </c>
      <c r="B4" s="9">
        <v>31</v>
      </c>
      <c r="E4" s="1" t="s">
        <v>106</v>
      </c>
    </row>
    <row r="5" spans="1:5" x14ac:dyDescent="0.55000000000000004">
      <c r="A5" s="44">
        <v>1</v>
      </c>
      <c r="B5" s="9">
        <v>2</v>
      </c>
      <c r="E5" s="1" t="s">
        <v>152</v>
      </c>
    </row>
    <row r="6" spans="1:5" x14ac:dyDescent="0.55000000000000004">
      <c r="A6" s="44">
        <v>2</v>
      </c>
      <c r="B6" s="9">
        <v>15</v>
      </c>
      <c r="E6" s="1" t="s">
        <v>147</v>
      </c>
    </row>
    <row r="7" spans="1:5" x14ac:dyDescent="0.55000000000000004">
      <c r="A7" s="44">
        <v>3</v>
      </c>
      <c r="B7" s="9">
        <v>14</v>
      </c>
      <c r="E7" s="1" t="s">
        <v>94</v>
      </c>
    </row>
    <row r="8" spans="1:5" x14ac:dyDescent="0.55000000000000004">
      <c r="A8" s="1" t="s">
        <v>55</v>
      </c>
      <c r="B8" s="9">
        <v>6</v>
      </c>
      <c r="E8" s="1" t="s">
        <v>137</v>
      </c>
    </row>
    <row r="9" spans="1:5" x14ac:dyDescent="0.55000000000000004">
      <c r="A9" s="44">
        <v>1</v>
      </c>
      <c r="B9" s="9">
        <v>2</v>
      </c>
      <c r="E9" s="1" t="s">
        <v>234</v>
      </c>
    </row>
    <row r="10" spans="1:5" x14ac:dyDescent="0.55000000000000004">
      <c r="A10" s="44">
        <v>2</v>
      </c>
      <c r="B10" s="9">
        <v>2</v>
      </c>
      <c r="E10" s="1" t="s">
        <v>160</v>
      </c>
    </row>
    <row r="11" spans="1:5" x14ac:dyDescent="0.55000000000000004">
      <c r="A11" s="44">
        <v>3</v>
      </c>
      <c r="B11" s="9">
        <v>2</v>
      </c>
      <c r="E11" s="1" t="s">
        <v>238</v>
      </c>
    </row>
    <row r="12" spans="1:5" x14ac:dyDescent="0.55000000000000004">
      <c r="A12" s="1" t="s">
        <v>88</v>
      </c>
      <c r="B12" s="9">
        <v>8</v>
      </c>
    </row>
    <row r="13" spans="1:5" x14ac:dyDescent="0.55000000000000004">
      <c r="A13" s="44">
        <v>1</v>
      </c>
      <c r="B13" s="9">
        <v>1</v>
      </c>
    </row>
    <row r="14" spans="1:5" x14ac:dyDescent="0.55000000000000004">
      <c r="A14" s="44">
        <v>2</v>
      </c>
      <c r="B14" s="9">
        <v>1</v>
      </c>
    </row>
    <row r="15" spans="1:5" x14ac:dyDescent="0.55000000000000004">
      <c r="A15" s="44">
        <v>3</v>
      </c>
      <c r="B15" s="9">
        <v>6</v>
      </c>
    </row>
    <row r="16" spans="1:5" x14ac:dyDescent="0.55000000000000004">
      <c r="A16" s="1" t="s">
        <v>14</v>
      </c>
      <c r="B16" s="9">
        <v>45</v>
      </c>
    </row>
    <row r="19" spans="1:1" x14ac:dyDescent="0.55000000000000004">
      <c r="A19" s="14"/>
    </row>
  </sheetData>
  <pageMargins left="0.7" right="0.7" top="0.78740157500000008" bottom="0.78740157500000008"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0"/>
  <sheetViews>
    <sheetView tabSelected="1" zoomScale="85" workbookViewId="0">
      <selection activeCell="B20" sqref="B20"/>
    </sheetView>
  </sheetViews>
  <sheetFormatPr baseColWidth="10" defaultRowHeight="15.7" x14ac:dyDescent="0.55000000000000004"/>
  <cols>
    <col min="1" max="1" width="82.83203125" customWidth="1"/>
    <col min="2" max="2" width="9.5546875" customWidth="1"/>
    <col min="3" max="3" width="9.1640625" customWidth="1"/>
    <col min="4" max="4" width="8.77734375" customWidth="1"/>
    <col min="5" max="5" width="19.44140625" customWidth="1"/>
    <col min="6" max="6" width="3.94140625" customWidth="1"/>
    <col min="7" max="7" width="4.27734375" customWidth="1"/>
    <col min="8" max="8" width="60.1640625" customWidth="1"/>
  </cols>
  <sheetData>
    <row r="1" spans="1:8" x14ac:dyDescent="0.55000000000000004">
      <c r="A1" s="9" t="s">
        <v>239</v>
      </c>
    </row>
    <row r="3" spans="1:8" x14ac:dyDescent="0.55000000000000004">
      <c r="A3" s="20" t="s">
        <v>13</v>
      </c>
      <c r="B3" t="s">
        <v>237</v>
      </c>
      <c r="G3" s="45" t="s">
        <v>240</v>
      </c>
      <c r="H3" s="45" t="s">
        <v>241</v>
      </c>
    </row>
    <row r="4" spans="1:8" x14ac:dyDescent="0.55000000000000004">
      <c r="A4" s="1" t="s">
        <v>80</v>
      </c>
      <c r="B4" s="9">
        <v>5</v>
      </c>
      <c r="G4" s="46">
        <v>4</v>
      </c>
      <c r="H4" s="9" t="s">
        <v>89</v>
      </c>
    </row>
    <row r="5" spans="1:8" x14ac:dyDescent="0.55000000000000004">
      <c r="A5" s="1" t="s">
        <v>64</v>
      </c>
      <c r="B5" s="9">
        <v>1</v>
      </c>
      <c r="G5" s="46">
        <v>4</v>
      </c>
      <c r="H5" s="9" t="s">
        <v>96</v>
      </c>
    </row>
    <row r="6" spans="1:8" x14ac:dyDescent="0.55000000000000004">
      <c r="A6" s="1" t="s">
        <v>157</v>
      </c>
      <c r="B6" s="9">
        <v>1</v>
      </c>
      <c r="G6" s="47">
        <v>2</v>
      </c>
      <c r="H6" s="9" t="s">
        <v>107</v>
      </c>
    </row>
    <row r="7" spans="1:8" x14ac:dyDescent="0.55000000000000004">
      <c r="A7" s="1" t="s">
        <v>166</v>
      </c>
      <c r="B7" s="9">
        <v>2</v>
      </c>
      <c r="G7" s="48">
        <v>3</v>
      </c>
      <c r="H7" s="9" t="s">
        <v>110</v>
      </c>
    </row>
    <row r="8" spans="1:8" x14ac:dyDescent="0.55000000000000004">
      <c r="A8" s="1" t="s">
        <v>226</v>
      </c>
      <c r="B8" s="9">
        <v>1</v>
      </c>
      <c r="G8" s="47">
        <v>2</v>
      </c>
      <c r="H8" s="9" t="s">
        <v>115</v>
      </c>
    </row>
    <row r="9" spans="1:8" x14ac:dyDescent="0.55000000000000004">
      <c r="A9" s="1" t="s">
        <v>57</v>
      </c>
      <c r="B9" s="9">
        <v>10</v>
      </c>
      <c r="G9" s="48">
        <v>3</v>
      </c>
      <c r="H9" s="9" t="s">
        <v>118</v>
      </c>
    </row>
    <row r="10" spans="1:8" x14ac:dyDescent="0.55000000000000004">
      <c r="A10" s="1" t="s">
        <v>183</v>
      </c>
      <c r="B10" s="9">
        <v>2</v>
      </c>
      <c r="G10" s="49">
        <v>5</v>
      </c>
      <c r="H10" s="9" t="s">
        <v>125</v>
      </c>
    </row>
    <row r="11" spans="1:8" x14ac:dyDescent="0.55000000000000004">
      <c r="A11" s="1" t="s">
        <v>88</v>
      </c>
      <c r="B11" s="9">
        <v>23</v>
      </c>
      <c r="G11" s="47">
        <v>2</v>
      </c>
      <c r="H11" s="9" t="s">
        <v>132</v>
      </c>
    </row>
    <row r="12" spans="1:8" x14ac:dyDescent="0.55000000000000004">
      <c r="A12" s="1" t="s">
        <v>14</v>
      </c>
      <c r="B12" s="9">
        <v>45</v>
      </c>
      <c r="G12" s="47">
        <v>2</v>
      </c>
      <c r="H12" s="9" t="s">
        <v>138</v>
      </c>
    </row>
    <row r="13" spans="1:8" x14ac:dyDescent="0.55000000000000004">
      <c r="G13" s="48">
        <v>3</v>
      </c>
      <c r="H13" s="9" t="s">
        <v>148</v>
      </c>
    </row>
    <row r="14" spans="1:8" x14ac:dyDescent="0.55000000000000004">
      <c r="G14" s="50">
        <v>1</v>
      </c>
      <c r="H14" s="9" t="s">
        <v>153</v>
      </c>
    </row>
    <row r="15" spans="1:8" x14ac:dyDescent="0.55000000000000004">
      <c r="A15" s="51" t="s">
        <v>80</v>
      </c>
      <c r="B15" s="14">
        <f>SUMIF(A1:A12,"*Durch den Newsletter / die Webseite des Kompetenzzentrums Digitale Barrierefreiheit der HdM Stuttgart*",B1:B12)</f>
        <v>9</v>
      </c>
      <c r="G15" s="47">
        <v>2</v>
      </c>
      <c r="H15" s="9" t="s">
        <v>161</v>
      </c>
    </row>
    <row r="16" spans="1:8" x14ac:dyDescent="0.55000000000000004">
      <c r="A16" s="51" t="s">
        <v>226</v>
      </c>
      <c r="B16" s="14">
        <f>SUMIF(A1:A12,"*Durch den Newsletter von BFIT-Bund*",B1:B12)</f>
        <v>2</v>
      </c>
      <c r="G16" s="50">
        <v>1</v>
      </c>
      <c r="H16" s="9" t="s">
        <v>167</v>
      </c>
    </row>
    <row r="17" spans="1:8" x14ac:dyDescent="0.55000000000000004">
      <c r="A17" s="51" t="s">
        <v>57</v>
      </c>
      <c r="B17" s="14">
        <f>SUMIF(A1:A12,"*Durch Informationen von IAAP D-A-CH*",B1:B12)</f>
        <v>16</v>
      </c>
      <c r="G17" s="50">
        <v>1</v>
      </c>
      <c r="H17" s="9" t="s">
        <v>167</v>
      </c>
    </row>
    <row r="18" spans="1:8" x14ac:dyDescent="0.55000000000000004">
      <c r="A18" s="51" t="s">
        <v>88</v>
      </c>
      <c r="B18" s="14">
        <f>SUMIF(A1:A12,"*Sonstiges*",B1:B12)</f>
        <v>27</v>
      </c>
      <c r="G18" s="50">
        <v>1</v>
      </c>
      <c r="H18" s="9" t="s">
        <v>153</v>
      </c>
    </row>
    <row r="19" spans="1:8" x14ac:dyDescent="0.55000000000000004">
      <c r="G19" s="50">
        <v>1</v>
      </c>
      <c r="H19" s="9" t="s">
        <v>184</v>
      </c>
    </row>
    <row r="20" spans="1:8" x14ac:dyDescent="0.55000000000000004">
      <c r="G20" s="47">
        <v>2</v>
      </c>
      <c r="H20" s="9" t="s">
        <v>188</v>
      </c>
    </row>
    <row r="21" spans="1:8" x14ac:dyDescent="0.55000000000000004">
      <c r="A21" s="51" t="s">
        <v>242</v>
      </c>
      <c r="G21" s="47">
        <v>2</v>
      </c>
      <c r="H21" s="9" t="s">
        <v>191</v>
      </c>
    </row>
    <row r="22" spans="1:8" x14ac:dyDescent="0.55000000000000004">
      <c r="A22" s="52" t="s">
        <v>243</v>
      </c>
      <c r="G22" s="50">
        <v>1</v>
      </c>
      <c r="H22" s="9" t="s">
        <v>193</v>
      </c>
    </row>
    <row r="23" spans="1:8" x14ac:dyDescent="0.55000000000000004">
      <c r="A23" s="47" t="s">
        <v>244</v>
      </c>
      <c r="G23" s="49">
        <v>5</v>
      </c>
      <c r="H23" s="9" t="s">
        <v>196</v>
      </c>
    </row>
    <row r="24" spans="1:8" x14ac:dyDescent="0.55000000000000004">
      <c r="A24" s="48" t="s">
        <v>245</v>
      </c>
      <c r="F24" s="49">
        <v>5</v>
      </c>
      <c r="G24" s="46">
        <v>4</v>
      </c>
      <c r="H24" s="9" t="s">
        <v>201</v>
      </c>
    </row>
    <row r="25" spans="1:8" x14ac:dyDescent="0.55000000000000004">
      <c r="A25" s="46" t="s">
        <v>246</v>
      </c>
      <c r="G25" s="50">
        <v>1</v>
      </c>
      <c r="H25" s="9" t="s">
        <v>208</v>
      </c>
    </row>
    <row r="26" spans="1:8" x14ac:dyDescent="0.55000000000000004">
      <c r="A26" s="49" t="s">
        <v>247</v>
      </c>
      <c r="G26" s="50">
        <v>1</v>
      </c>
      <c r="H26" s="9" t="s">
        <v>214</v>
      </c>
    </row>
    <row r="27" spans="1:8" x14ac:dyDescent="0.55000000000000004">
      <c r="G27" s="47">
        <v>2</v>
      </c>
      <c r="H27" s="9" t="s">
        <v>132</v>
      </c>
    </row>
    <row r="28" spans="1:8" x14ac:dyDescent="0.55000000000000004">
      <c r="G28" s="49">
        <v>5</v>
      </c>
      <c r="H28" s="9" t="s">
        <v>221</v>
      </c>
    </row>
    <row r="29" spans="1:8" x14ac:dyDescent="0.55000000000000004">
      <c r="G29" s="47">
        <v>2</v>
      </c>
      <c r="H29" s="9" t="s">
        <v>231</v>
      </c>
    </row>
    <row r="30" spans="1:8" x14ac:dyDescent="0.55000000000000004">
      <c r="F30" s="9"/>
      <c r="G30" s="49">
        <v>5</v>
      </c>
      <c r="H30" s="9" t="s">
        <v>235</v>
      </c>
    </row>
  </sheetData>
  <pageMargins left="0.7" right="0.7" top="0.78740157500000008" bottom="0.78740157500000008"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55"/>
  <sheetViews>
    <sheetView topLeftCell="A16" workbookViewId="0">
      <selection activeCell="C19" sqref="C19"/>
    </sheetView>
  </sheetViews>
  <sheetFormatPr baseColWidth="10" defaultRowHeight="15.7" x14ac:dyDescent="0.55000000000000004"/>
  <cols>
    <col min="1" max="1" width="6.6640625" customWidth="1"/>
    <col min="2" max="2" width="12" customWidth="1"/>
    <col min="3" max="3" width="47.6640625" customWidth="1"/>
  </cols>
  <sheetData>
    <row r="2" spans="1:3" x14ac:dyDescent="0.55000000000000004">
      <c r="C2" s="9"/>
    </row>
    <row r="3" spans="1:3" x14ac:dyDescent="0.55000000000000004">
      <c r="C3" s="9" t="s">
        <v>248</v>
      </c>
    </row>
    <row r="4" spans="1:3" x14ac:dyDescent="0.55000000000000004">
      <c r="B4" s="9"/>
      <c r="C4" t="s">
        <v>249</v>
      </c>
    </row>
    <row r="5" spans="1:3" x14ac:dyDescent="0.55000000000000004">
      <c r="B5" s="9"/>
      <c r="C5" t="s">
        <v>250</v>
      </c>
    </row>
    <row r="6" spans="1:3" x14ac:dyDescent="0.55000000000000004">
      <c r="C6" t="s">
        <v>251</v>
      </c>
    </row>
    <row r="7" spans="1:3" x14ac:dyDescent="0.55000000000000004">
      <c r="C7" t="s">
        <v>252</v>
      </c>
    </row>
    <row r="8" spans="1:3" x14ac:dyDescent="0.55000000000000004">
      <c r="C8" t="s">
        <v>253</v>
      </c>
    </row>
    <row r="9" spans="1:3" x14ac:dyDescent="0.55000000000000004">
      <c r="C9" t="s">
        <v>254</v>
      </c>
    </row>
    <row r="12" spans="1:3" x14ac:dyDescent="0.55000000000000004">
      <c r="A12" s="14" t="s">
        <v>255</v>
      </c>
      <c r="B12" s="14" t="s">
        <v>240</v>
      </c>
      <c r="C12" s="14" t="s">
        <v>41</v>
      </c>
    </row>
    <row r="13" spans="1:3" x14ac:dyDescent="0.55000000000000004">
      <c r="B13" s="9">
        <v>1</v>
      </c>
      <c r="C13" t="s">
        <v>58</v>
      </c>
    </row>
    <row r="14" spans="1:3" x14ac:dyDescent="0.55000000000000004">
      <c r="C14" t="s">
        <v>256</v>
      </c>
    </row>
    <row r="15" spans="1:3" x14ac:dyDescent="0.55000000000000004">
      <c r="C15" t="s">
        <v>257</v>
      </c>
    </row>
    <row r="16" spans="1:3" x14ac:dyDescent="0.55000000000000004">
      <c r="C16" t="s">
        <v>258</v>
      </c>
    </row>
    <row r="17" spans="3:3" x14ac:dyDescent="0.55000000000000004">
      <c r="C17" t="s">
        <v>81</v>
      </c>
    </row>
    <row r="18" spans="3:3" x14ac:dyDescent="0.55000000000000004">
      <c r="C18" t="s">
        <v>90</v>
      </c>
    </row>
    <row r="19" spans="3:3" x14ac:dyDescent="0.55000000000000004">
      <c r="C19" t="s">
        <v>97</v>
      </c>
    </row>
    <row r="20" spans="3:3" x14ac:dyDescent="0.55000000000000004">
      <c r="C20" t="s">
        <v>102</v>
      </c>
    </row>
    <row r="21" spans="3:3" x14ac:dyDescent="0.55000000000000004">
      <c r="C21" t="s">
        <v>108</v>
      </c>
    </row>
    <row r="22" spans="3:3" x14ac:dyDescent="0.55000000000000004">
      <c r="C22" t="s">
        <v>111</v>
      </c>
    </row>
    <row r="23" spans="3:3" x14ac:dyDescent="0.55000000000000004">
      <c r="C23" t="s">
        <v>113</v>
      </c>
    </row>
    <row r="24" spans="3:3" x14ac:dyDescent="0.55000000000000004">
      <c r="C24" t="s">
        <v>116</v>
      </c>
    </row>
    <row r="25" spans="3:3" x14ac:dyDescent="0.55000000000000004">
      <c r="C25" t="s">
        <v>119</v>
      </c>
    </row>
    <row r="26" spans="3:3" x14ac:dyDescent="0.55000000000000004">
      <c r="C26" t="s">
        <v>123</v>
      </c>
    </row>
    <row r="27" spans="3:3" x14ac:dyDescent="0.55000000000000004">
      <c r="C27" t="s">
        <v>126</v>
      </c>
    </row>
    <row r="28" spans="3:3" x14ac:dyDescent="0.55000000000000004">
      <c r="C28" t="s">
        <v>133</v>
      </c>
    </row>
    <row r="29" spans="3:3" x14ac:dyDescent="0.55000000000000004">
      <c r="C29" t="s">
        <v>139</v>
      </c>
    </row>
    <row r="30" spans="3:3" x14ac:dyDescent="0.55000000000000004">
      <c r="C30" t="s">
        <v>142</v>
      </c>
    </row>
    <row r="31" spans="3:3" x14ac:dyDescent="0.55000000000000004">
      <c r="C31" t="s">
        <v>149</v>
      </c>
    </row>
    <row r="32" spans="3:3" x14ac:dyDescent="0.55000000000000004">
      <c r="C32" t="s">
        <v>154</v>
      </c>
    </row>
    <row r="33" spans="3:3" x14ac:dyDescent="0.55000000000000004">
      <c r="C33" t="s">
        <v>158</v>
      </c>
    </row>
    <row r="34" spans="3:3" x14ac:dyDescent="0.55000000000000004">
      <c r="C34" t="s">
        <v>162</v>
      </c>
    </row>
    <row r="35" spans="3:3" x14ac:dyDescent="0.55000000000000004">
      <c r="C35" t="s">
        <v>164</v>
      </c>
    </row>
    <row r="36" spans="3:3" x14ac:dyDescent="0.55000000000000004">
      <c r="C36" t="s">
        <v>168</v>
      </c>
    </row>
    <row r="37" spans="3:3" x14ac:dyDescent="0.55000000000000004">
      <c r="C37" t="s">
        <v>175</v>
      </c>
    </row>
    <row r="38" spans="3:3" x14ac:dyDescent="0.55000000000000004">
      <c r="C38" t="s">
        <v>181</v>
      </c>
    </row>
    <row r="39" spans="3:3" x14ac:dyDescent="0.55000000000000004">
      <c r="C39" t="s">
        <v>185</v>
      </c>
    </row>
    <row r="40" spans="3:3" x14ac:dyDescent="0.55000000000000004">
      <c r="C40" t="s">
        <v>187</v>
      </c>
    </row>
    <row r="41" spans="3:3" x14ac:dyDescent="0.55000000000000004">
      <c r="C41" t="s">
        <v>189</v>
      </c>
    </row>
    <row r="42" spans="3:3" x14ac:dyDescent="0.55000000000000004">
      <c r="C42" t="s">
        <v>192</v>
      </c>
    </row>
    <row r="43" spans="3:3" x14ac:dyDescent="0.55000000000000004">
      <c r="C43" t="s">
        <v>194</v>
      </c>
    </row>
    <row r="44" spans="3:3" x14ac:dyDescent="0.55000000000000004">
      <c r="C44" t="s">
        <v>197</v>
      </c>
    </row>
    <row r="45" spans="3:3" x14ac:dyDescent="0.55000000000000004">
      <c r="C45" t="s">
        <v>202</v>
      </c>
    </row>
    <row r="46" spans="3:3" x14ac:dyDescent="0.55000000000000004">
      <c r="C46" t="s">
        <v>209</v>
      </c>
    </row>
    <row r="47" spans="3:3" x14ac:dyDescent="0.55000000000000004">
      <c r="C47" t="s">
        <v>210</v>
      </c>
    </row>
    <row r="48" spans="3:3" x14ac:dyDescent="0.55000000000000004">
      <c r="C48" t="s">
        <v>215</v>
      </c>
    </row>
    <row r="49" spans="3:3" x14ac:dyDescent="0.55000000000000004">
      <c r="C49" t="s">
        <v>218</v>
      </c>
    </row>
    <row r="50" spans="3:3" x14ac:dyDescent="0.55000000000000004">
      <c r="C50" t="s">
        <v>222</v>
      </c>
    </row>
    <row r="51" spans="3:3" x14ac:dyDescent="0.55000000000000004">
      <c r="C51" t="s">
        <v>224</v>
      </c>
    </row>
    <row r="52" spans="3:3" x14ac:dyDescent="0.55000000000000004">
      <c r="C52" t="s">
        <v>227</v>
      </c>
    </row>
    <row r="53" spans="3:3" x14ac:dyDescent="0.55000000000000004">
      <c r="C53" t="s">
        <v>229</v>
      </c>
    </row>
    <row r="54" spans="3:3" x14ac:dyDescent="0.55000000000000004">
      <c r="C54" t="s">
        <v>232</v>
      </c>
    </row>
    <row r="55" spans="3:3" x14ac:dyDescent="0.55000000000000004">
      <c r="C55" t="s">
        <v>236</v>
      </c>
    </row>
  </sheetData>
  <pageMargins left="0.7" right="0.7" top="0.78740157500000008" bottom="0.78740157500000008"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85"/>
  <sheetViews>
    <sheetView topLeftCell="A34" zoomScale="70" workbookViewId="0">
      <selection activeCell="E74" sqref="E74"/>
    </sheetView>
  </sheetViews>
  <sheetFormatPr baseColWidth="10" defaultRowHeight="15.7" x14ac:dyDescent="0.55000000000000004"/>
  <cols>
    <col min="1" max="1" width="94.1640625" style="53" bestFit="1" customWidth="1"/>
    <col min="2" max="2" width="17.44140625" customWidth="1"/>
    <col min="3" max="3" width="11.1640625" bestFit="1" customWidth="1"/>
    <col min="4" max="4" width="12.1640625" bestFit="1" customWidth="1"/>
    <col min="5" max="5" width="13.33203125" bestFit="1" customWidth="1"/>
    <col min="6" max="6" width="18.33203125" bestFit="1" customWidth="1"/>
    <col min="7" max="7" width="14.5546875" bestFit="1" customWidth="1"/>
    <col min="8" max="8" width="30.6640625" bestFit="1" customWidth="1"/>
    <col min="9" max="9" width="19.88671875" bestFit="1" customWidth="1"/>
    <col min="10" max="10" width="17.83203125" bestFit="1" customWidth="1"/>
    <col min="11" max="11" width="16.44140625" bestFit="1" customWidth="1"/>
    <col min="12" max="12" width="25.6640625" bestFit="1" customWidth="1"/>
    <col min="13" max="13" width="29.83203125" bestFit="1" customWidth="1"/>
    <col min="14" max="14" width="19.88671875" bestFit="1" customWidth="1"/>
    <col min="15" max="15" width="12.33203125" bestFit="1" customWidth="1"/>
    <col min="16" max="16" width="29.83203125" bestFit="1" customWidth="1"/>
    <col min="17" max="17" width="20.6640625" bestFit="1" customWidth="1"/>
    <col min="18" max="18" width="68.6640625" bestFit="1" customWidth="1"/>
    <col min="19" max="19" width="59.5546875" bestFit="1" customWidth="1"/>
    <col min="20" max="20" width="228.6640625" bestFit="1" customWidth="1"/>
    <col min="21" max="21" width="43.94140625" bestFit="1" customWidth="1"/>
    <col min="22" max="22" width="5.94140625" bestFit="1" customWidth="1"/>
    <col min="23" max="24" width="14.5546875" bestFit="1" customWidth="1"/>
  </cols>
  <sheetData>
    <row r="1" spans="1:2" x14ac:dyDescent="0.55000000000000004">
      <c r="A1" s="54" t="s">
        <v>0</v>
      </c>
      <c r="B1" t="s">
        <v>259</v>
      </c>
    </row>
    <row r="3" spans="1:2" x14ac:dyDescent="0.55000000000000004">
      <c r="A3" s="54" t="s">
        <v>260</v>
      </c>
      <c r="B3" t="s">
        <v>237</v>
      </c>
    </row>
    <row r="4" spans="1:2" x14ac:dyDescent="0.55000000000000004">
      <c r="A4" s="55" t="s">
        <v>75</v>
      </c>
      <c r="B4" s="9">
        <v>12</v>
      </c>
    </row>
    <row r="5" spans="1:2" x14ac:dyDescent="0.55000000000000004">
      <c r="A5" s="55" t="s">
        <v>82</v>
      </c>
      <c r="B5" s="9">
        <v>13</v>
      </c>
    </row>
    <row r="6" spans="1:2" x14ac:dyDescent="0.55000000000000004">
      <c r="A6" s="55" t="s">
        <v>59</v>
      </c>
      <c r="B6" s="9">
        <v>16</v>
      </c>
    </row>
    <row r="7" spans="1:2" x14ac:dyDescent="0.55000000000000004">
      <c r="A7" s="55" t="s">
        <v>155</v>
      </c>
      <c r="B7" s="9">
        <v>1</v>
      </c>
    </row>
    <row r="8" spans="1:2" x14ac:dyDescent="0.55000000000000004">
      <c r="A8" s="55" t="s">
        <v>98</v>
      </c>
      <c r="B8" s="9">
        <v>3</v>
      </c>
    </row>
    <row r="9" spans="1:2" x14ac:dyDescent="0.55000000000000004">
      <c r="A9" s="55" t="s">
        <v>14</v>
      </c>
      <c r="B9" s="9">
        <v>45</v>
      </c>
    </row>
    <row r="15" spans="1:2" x14ac:dyDescent="0.55000000000000004">
      <c r="A15" s="54" t="s">
        <v>0</v>
      </c>
      <c r="B15" t="s">
        <v>259</v>
      </c>
    </row>
    <row r="17" spans="1:7" x14ac:dyDescent="0.55000000000000004">
      <c r="A17" s="54" t="s">
        <v>261</v>
      </c>
      <c r="B17" t="s">
        <v>237</v>
      </c>
    </row>
    <row r="18" spans="1:7" x14ac:dyDescent="0.55000000000000004">
      <c r="A18" s="55" t="s">
        <v>76</v>
      </c>
      <c r="B18" s="9">
        <v>2</v>
      </c>
    </row>
    <row r="19" spans="1:7" x14ac:dyDescent="0.55000000000000004">
      <c r="A19" s="55" t="s">
        <v>71</v>
      </c>
      <c r="B19" s="9">
        <v>3</v>
      </c>
    </row>
    <row r="20" spans="1:7" x14ac:dyDescent="0.55000000000000004">
      <c r="A20" s="55" t="s">
        <v>65</v>
      </c>
      <c r="B20" s="9">
        <v>9</v>
      </c>
    </row>
    <row r="21" spans="1:7" x14ac:dyDescent="0.55000000000000004">
      <c r="A21" s="55" t="s">
        <v>60</v>
      </c>
      <c r="B21" s="9">
        <v>31</v>
      </c>
    </row>
    <row r="22" spans="1:7" x14ac:dyDescent="0.55000000000000004">
      <c r="A22" s="55" t="s">
        <v>14</v>
      </c>
      <c r="B22" s="9">
        <v>45</v>
      </c>
    </row>
    <row r="28" spans="1:7" x14ac:dyDescent="0.55000000000000004">
      <c r="A28" s="54" t="s">
        <v>262</v>
      </c>
      <c r="B28" s="20" t="s">
        <v>260</v>
      </c>
    </row>
    <row r="29" spans="1:7" x14ac:dyDescent="0.55000000000000004">
      <c r="A29" s="54" t="s">
        <v>263</v>
      </c>
      <c r="B29" t="s">
        <v>155</v>
      </c>
      <c r="C29" t="s">
        <v>75</v>
      </c>
      <c r="D29" t="s">
        <v>59</v>
      </c>
      <c r="E29" t="s">
        <v>82</v>
      </c>
      <c r="F29" t="s">
        <v>98</v>
      </c>
      <c r="G29" t="s">
        <v>14</v>
      </c>
    </row>
    <row r="30" spans="1:7" x14ac:dyDescent="0.55000000000000004">
      <c r="A30" s="55" t="s">
        <v>76</v>
      </c>
      <c r="B30" s="9"/>
      <c r="C30" s="9">
        <v>2</v>
      </c>
      <c r="D30" s="9"/>
      <c r="E30" s="9"/>
      <c r="F30" s="9"/>
      <c r="G30" s="9">
        <v>2</v>
      </c>
    </row>
    <row r="31" spans="1:7" x14ac:dyDescent="0.55000000000000004">
      <c r="A31" s="55" t="s">
        <v>71</v>
      </c>
      <c r="B31" s="9">
        <v>1</v>
      </c>
      <c r="C31" s="9"/>
      <c r="D31" s="9"/>
      <c r="E31" s="9">
        <v>2</v>
      </c>
      <c r="F31" s="9"/>
      <c r="G31" s="9">
        <v>3</v>
      </c>
    </row>
    <row r="32" spans="1:7" x14ac:dyDescent="0.55000000000000004">
      <c r="A32" s="55" t="s">
        <v>65</v>
      </c>
      <c r="B32" s="9"/>
      <c r="C32" s="9">
        <v>1</v>
      </c>
      <c r="D32" s="9">
        <v>3</v>
      </c>
      <c r="E32" s="9">
        <v>3</v>
      </c>
      <c r="F32" s="9">
        <v>2</v>
      </c>
      <c r="G32" s="9">
        <v>9</v>
      </c>
    </row>
    <row r="33" spans="1:7" x14ac:dyDescent="0.55000000000000004">
      <c r="A33" s="55" t="s">
        <v>60</v>
      </c>
      <c r="B33" s="9"/>
      <c r="C33" s="9">
        <v>9</v>
      </c>
      <c r="D33" s="9">
        <v>13</v>
      </c>
      <c r="E33" s="9">
        <v>8</v>
      </c>
      <c r="F33" s="9">
        <v>1</v>
      </c>
      <c r="G33" s="9">
        <v>31</v>
      </c>
    </row>
    <row r="34" spans="1:7" x14ac:dyDescent="0.55000000000000004">
      <c r="A34" s="55" t="s">
        <v>14</v>
      </c>
      <c r="B34" s="9">
        <v>1</v>
      </c>
      <c r="C34" s="9">
        <v>12</v>
      </c>
      <c r="D34" s="9">
        <v>16</v>
      </c>
      <c r="E34" s="9">
        <v>13</v>
      </c>
      <c r="F34" s="9">
        <v>3</v>
      </c>
      <c r="G34" s="9">
        <v>45</v>
      </c>
    </row>
    <row r="37" spans="1:7" x14ac:dyDescent="0.55000000000000004">
      <c r="A37"/>
    </row>
    <row r="38" spans="1:7" x14ac:dyDescent="0.55000000000000004">
      <c r="A38"/>
    </row>
    <row r="40" spans="1:7" x14ac:dyDescent="0.55000000000000004">
      <c r="A40" s="20" t="s">
        <v>260</v>
      </c>
      <c r="B40" s="9" t="s">
        <v>259</v>
      </c>
    </row>
    <row r="41" spans="1:7" x14ac:dyDescent="0.55000000000000004">
      <c r="A41" s="20" t="s">
        <v>261</v>
      </c>
      <c r="B41" s="9" t="s">
        <v>259</v>
      </c>
    </row>
    <row r="43" spans="1:7" x14ac:dyDescent="0.55000000000000004">
      <c r="A43" s="20" t="s">
        <v>264</v>
      </c>
    </row>
    <row r="44" spans="1:7" x14ac:dyDescent="0.55000000000000004">
      <c r="A44" s="1" t="s">
        <v>195</v>
      </c>
    </row>
    <row r="45" spans="1:7" x14ac:dyDescent="0.55000000000000004">
      <c r="A45" s="1" t="s">
        <v>198</v>
      </c>
    </row>
    <row r="46" spans="1:7" x14ac:dyDescent="0.55000000000000004">
      <c r="A46" s="1" t="s">
        <v>70</v>
      </c>
    </row>
    <row r="47" spans="1:7" x14ac:dyDescent="0.55000000000000004">
      <c r="A47" s="1" t="s">
        <v>103</v>
      </c>
    </row>
    <row r="48" spans="1:7" x14ac:dyDescent="0.55000000000000004">
      <c r="A48" s="1" t="s">
        <v>169</v>
      </c>
    </row>
    <row r="49" spans="1:1" x14ac:dyDescent="0.55000000000000004">
      <c r="A49" s="1" t="s">
        <v>120</v>
      </c>
    </row>
    <row r="50" spans="1:1" x14ac:dyDescent="0.55000000000000004">
      <c r="A50" s="1" t="s">
        <v>77</v>
      </c>
    </row>
    <row r="51" spans="1:1" x14ac:dyDescent="0.55000000000000004">
      <c r="A51" s="1" t="s">
        <v>143</v>
      </c>
    </row>
    <row r="52" spans="1:1" x14ac:dyDescent="0.55000000000000004">
      <c r="A52" s="1" t="s">
        <v>216</v>
      </c>
    </row>
    <row r="53" spans="1:1" x14ac:dyDescent="0.55000000000000004">
      <c r="A53" s="1" t="s">
        <v>228</v>
      </c>
    </row>
    <row r="54" spans="1:1" x14ac:dyDescent="0.55000000000000004">
      <c r="A54" s="1" t="s">
        <v>165</v>
      </c>
    </row>
    <row r="55" spans="1:1" x14ac:dyDescent="0.55000000000000004">
      <c r="A55" s="1" t="s">
        <v>203</v>
      </c>
    </row>
    <row r="56" spans="1:1" x14ac:dyDescent="0.55000000000000004">
      <c r="A56" s="1" t="s">
        <v>176</v>
      </c>
    </row>
    <row r="57" spans="1:1" x14ac:dyDescent="0.55000000000000004">
      <c r="A57" s="1" t="s">
        <v>83</v>
      </c>
    </row>
    <row r="58" spans="1:1" x14ac:dyDescent="0.55000000000000004">
      <c r="A58" s="1" t="s">
        <v>265</v>
      </c>
    </row>
    <row r="59" spans="1:1" x14ac:dyDescent="0.55000000000000004">
      <c r="A59" s="9"/>
    </row>
    <row r="68" spans="1:7" x14ac:dyDescent="0.55000000000000004">
      <c r="A68" s="20" t="s">
        <v>266</v>
      </c>
      <c r="B68" s="20" t="s">
        <v>12</v>
      </c>
    </row>
    <row r="69" spans="1:7" x14ac:dyDescent="0.55000000000000004">
      <c r="A69" s="20" t="s">
        <v>13</v>
      </c>
      <c r="B69" t="s">
        <v>155</v>
      </c>
      <c r="C69" t="s">
        <v>75</v>
      </c>
      <c r="D69" t="s">
        <v>59</v>
      </c>
      <c r="E69" t="s">
        <v>82</v>
      </c>
      <c r="F69" t="s">
        <v>98</v>
      </c>
      <c r="G69" t="s">
        <v>14</v>
      </c>
    </row>
    <row r="70" spans="1:7" x14ac:dyDescent="0.55000000000000004">
      <c r="A70" s="1" t="s">
        <v>63</v>
      </c>
      <c r="B70" s="9"/>
      <c r="C70" s="9">
        <v>9</v>
      </c>
      <c r="D70" s="9">
        <v>13</v>
      </c>
      <c r="E70" s="9">
        <v>8</v>
      </c>
      <c r="F70" s="9">
        <v>1</v>
      </c>
      <c r="G70" s="9">
        <v>31</v>
      </c>
    </row>
    <row r="71" spans="1:7" x14ac:dyDescent="0.55000000000000004">
      <c r="A71" s="1" t="s">
        <v>55</v>
      </c>
      <c r="B71" s="9"/>
      <c r="C71" s="9">
        <v>3</v>
      </c>
      <c r="D71" s="9">
        <v>1</v>
      </c>
      <c r="E71" s="9">
        <v>1</v>
      </c>
      <c r="F71" s="9">
        <v>1</v>
      </c>
      <c r="G71" s="9">
        <v>6</v>
      </c>
    </row>
    <row r="72" spans="1:7" x14ac:dyDescent="0.55000000000000004">
      <c r="A72" s="1" t="s">
        <v>88</v>
      </c>
      <c r="B72" s="9">
        <v>1</v>
      </c>
      <c r="C72" s="9"/>
      <c r="D72" s="9">
        <v>2</v>
      </c>
      <c r="E72" s="9">
        <v>4</v>
      </c>
      <c r="F72" s="9">
        <v>1</v>
      </c>
      <c r="G72" s="9">
        <v>8</v>
      </c>
    </row>
    <row r="73" spans="1:7" x14ac:dyDescent="0.55000000000000004">
      <c r="A73" s="1" t="s">
        <v>14</v>
      </c>
      <c r="B73" s="9">
        <v>1</v>
      </c>
      <c r="C73" s="9">
        <v>12</v>
      </c>
      <c r="D73" s="9">
        <v>16</v>
      </c>
      <c r="E73" s="9">
        <v>13</v>
      </c>
      <c r="F73" s="9">
        <v>3</v>
      </c>
      <c r="G73" s="9">
        <v>45</v>
      </c>
    </row>
    <row r="74" spans="1:7" x14ac:dyDescent="0.55000000000000004">
      <c r="A74"/>
    </row>
    <row r="75" spans="1:7" x14ac:dyDescent="0.55000000000000004">
      <c r="A75"/>
    </row>
    <row r="76" spans="1:7" x14ac:dyDescent="0.55000000000000004">
      <c r="A76"/>
    </row>
    <row r="77" spans="1:7" x14ac:dyDescent="0.55000000000000004">
      <c r="A77"/>
    </row>
    <row r="78" spans="1:7" x14ac:dyDescent="0.55000000000000004">
      <c r="A78"/>
    </row>
    <row r="79" spans="1:7" x14ac:dyDescent="0.55000000000000004">
      <c r="A79"/>
    </row>
    <row r="80" spans="1:7" x14ac:dyDescent="0.55000000000000004">
      <c r="A80"/>
    </row>
    <row r="81" spans="1:1" x14ac:dyDescent="0.55000000000000004">
      <c r="A81"/>
    </row>
    <row r="82" spans="1:1" x14ac:dyDescent="0.55000000000000004">
      <c r="A82"/>
    </row>
    <row r="83" spans="1:1" x14ac:dyDescent="0.55000000000000004">
      <c r="A83"/>
    </row>
    <row r="84" spans="1:1" x14ac:dyDescent="0.55000000000000004">
      <c r="A84"/>
    </row>
    <row r="85" spans="1:1" x14ac:dyDescent="0.55000000000000004">
      <c r="A85"/>
    </row>
  </sheetData>
  <pageMargins left="0.7" right="0.7" top="0.78740157500000008" bottom="0.78740157500000008"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P48"/>
  <sheetViews>
    <sheetView zoomScale="70" workbookViewId="0">
      <selection activeCell="A33" sqref="A33"/>
    </sheetView>
  </sheetViews>
  <sheetFormatPr baseColWidth="10" defaultRowHeight="15.7" x14ac:dyDescent="0.55000000000000004"/>
  <cols>
    <col min="1" max="1" width="129.109375" style="53" customWidth="1"/>
    <col min="2" max="2" width="19.44140625" customWidth="1"/>
    <col min="8" max="8" width="38.109375" bestFit="1" customWidth="1"/>
    <col min="9" max="9" width="22.94140625" bestFit="1" customWidth="1"/>
    <col min="10" max="11" width="3.33203125" bestFit="1" customWidth="1"/>
    <col min="12" max="12" width="14.5546875" bestFit="1" customWidth="1"/>
    <col min="13" max="13" width="17.33203125" customWidth="1"/>
    <col min="14" max="14" width="14.5546875" bestFit="1" customWidth="1"/>
    <col min="15" max="15" width="21.83203125" bestFit="1" customWidth="1"/>
    <col min="16" max="16" width="6.33203125" customWidth="1"/>
    <col min="17" max="17" width="38.109375" bestFit="1" customWidth="1"/>
  </cols>
  <sheetData>
    <row r="3" spans="1:16" x14ac:dyDescent="0.55000000000000004">
      <c r="A3" s="54" t="s">
        <v>13</v>
      </c>
      <c r="B3" t="s">
        <v>267</v>
      </c>
      <c r="H3" s="20" t="s">
        <v>13</v>
      </c>
      <c r="I3" t="s">
        <v>268</v>
      </c>
      <c r="O3" s="20" t="s">
        <v>13</v>
      </c>
      <c r="P3" t="s">
        <v>269</v>
      </c>
    </row>
    <row r="4" spans="1:16" x14ac:dyDescent="0.55000000000000004">
      <c r="A4" s="55" t="s">
        <v>60</v>
      </c>
      <c r="B4" s="9">
        <v>18</v>
      </c>
      <c r="H4" s="1" t="s">
        <v>171</v>
      </c>
      <c r="I4" s="9">
        <v>3</v>
      </c>
      <c r="O4" s="1" t="s">
        <v>65</v>
      </c>
      <c r="P4" s="9">
        <v>2</v>
      </c>
    </row>
    <row r="5" spans="1:16" x14ac:dyDescent="0.55000000000000004">
      <c r="A5" s="55" t="s">
        <v>265</v>
      </c>
      <c r="B5" s="9">
        <v>18</v>
      </c>
      <c r="H5" s="1" t="s">
        <v>61</v>
      </c>
      <c r="I5" s="9">
        <v>20</v>
      </c>
      <c r="O5" s="1" t="s">
        <v>60</v>
      </c>
      <c r="P5" s="9">
        <v>43</v>
      </c>
    </row>
    <row r="6" spans="1:16" x14ac:dyDescent="0.55000000000000004">
      <c r="A6" s="55" t="s">
        <v>65</v>
      </c>
      <c r="B6" s="9">
        <v>21</v>
      </c>
      <c r="H6" s="1" t="s">
        <v>67</v>
      </c>
      <c r="I6" s="9">
        <v>21</v>
      </c>
      <c r="O6" s="1" t="s">
        <v>14</v>
      </c>
      <c r="P6" s="9">
        <v>45</v>
      </c>
    </row>
    <row r="7" spans="1:16" x14ac:dyDescent="0.55000000000000004">
      <c r="A7" s="55" t="s">
        <v>159</v>
      </c>
      <c r="B7" s="9">
        <v>1</v>
      </c>
      <c r="H7" s="1" t="s">
        <v>128</v>
      </c>
      <c r="I7" s="9">
        <v>1</v>
      </c>
    </row>
    <row r="8" spans="1:16" ht="31.35" x14ac:dyDescent="0.55000000000000004">
      <c r="A8" s="55" t="s">
        <v>91</v>
      </c>
      <c r="B8" s="9">
        <v>1</v>
      </c>
      <c r="H8" s="1" t="s">
        <v>14</v>
      </c>
      <c r="I8" s="9">
        <v>45</v>
      </c>
    </row>
    <row r="9" spans="1:16" x14ac:dyDescent="0.55000000000000004">
      <c r="A9" s="55" t="s">
        <v>190</v>
      </c>
      <c r="B9" s="9">
        <v>1</v>
      </c>
    </row>
    <row r="10" spans="1:16" x14ac:dyDescent="0.55000000000000004">
      <c r="A10" s="55" t="s">
        <v>170</v>
      </c>
      <c r="B10" s="9">
        <v>1</v>
      </c>
    </row>
    <row r="11" spans="1:16" x14ac:dyDescent="0.55000000000000004">
      <c r="A11" s="55" t="s">
        <v>204</v>
      </c>
      <c r="B11" s="9">
        <v>1</v>
      </c>
    </row>
    <row r="12" spans="1:16" x14ac:dyDescent="0.55000000000000004">
      <c r="A12" s="55" t="s">
        <v>177</v>
      </c>
      <c r="B12" s="9">
        <v>1</v>
      </c>
    </row>
    <row r="13" spans="1:16" x14ac:dyDescent="0.55000000000000004">
      <c r="A13" s="55" t="s">
        <v>66</v>
      </c>
      <c r="B13" s="9">
        <v>1</v>
      </c>
    </row>
    <row r="14" spans="1:16" x14ac:dyDescent="0.55000000000000004">
      <c r="A14" s="55" t="s">
        <v>144</v>
      </c>
      <c r="B14" s="9">
        <v>1</v>
      </c>
    </row>
    <row r="15" spans="1:16" x14ac:dyDescent="0.55000000000000004">
      <c r="A15" s="55" t="s">
        <v>265</v>
      </c>
      <c r="B15" s="9">
        <v>13</v>
      </c>
    </row>
    <row r="16" spans="1:16" x14ac:dyDescent="0.55000000000000004">
      <c r="A16" s="55" t="s">
        <v>71</v>
      </c>
      <c r="B16" s="9">
        <v>5</v>
      </c>
      <c r="H16" s="20" t="s">
        <v>268</v>
      </c>
      <c r="I16" s="20" t="s">
        <v>12</v>
      </c>
    </row>
    <row r="17" spans="1:14" x14ac:dyDescent="0.55000000000000004">
      <c r="A17" s="55" t="s">
        <v>186</v>
      </c>
      <c r="B17" s="9">
        <v>1</v>
      </c>
      <c r="H17" s="20" t="s">
        <v>13</v>
      </c>
      <c r="I17" t="s">
        <v>155</v>
      </c>
      <c r="J17" t="s">
        <v>75</v>
      </c>
      <c r="K17" t="s">
        <v>59</v>
      </c>
      <c r="L17" t="s">
        <v>82</v>
      </c>
      <c r="M17" t="s">
        <v>98</v>
      </c>
      <c r="N17" t="s">
        <v>14</v>
      </c>
    </row>
    <row r="18" spans="1:14" x14ac:dyDescent="0.55000000000000004">
      <c r="A18" s="55" t="s">
        <v>72</v>
      </c>
      <c r="B18" s="9">
        <v>1</v>
      </c>
      <c r="H18" s="1" t="s">
        <v>171</v>
      </c>
      <c r="I18" s="9"/>
      <c r="J18" s="9">
        <v>2</v>
      </c>
      <c r="K18" s="9"/>
      <c r="L18" s="9">
        <v>1</v>
      </c>
      <c r="M18" s="9"/>
      <c r="N18" s="9">
        <v>3</v>
      </c>
    </row>
    <row r="19" spans="1:14" x14ac:dyDescent="0.55000000000000004">
      <c r="A19" s="55" t="s">
        <v>219</v>
      </c>
      <c r="B19" s="9">
        <v>1</v>
      </c>
      <c r="H19" s="1" t="s">
        <v>61</v>
      </c>
      <c r="I19" s="9"/>
      <c r="J19" s="9">
        <v>3</v>
      </c>
      <c r="K19" s="9">
        <v>11</v>
      </c>
      <c r="L19" s="9">
        <v>4</v>
      </c>
      <c r="M19" s="9">
        <v>2</v>
      </c>
      <c r="N19" s="9">
        <v>20</v>
      </c>
    </row>
    <row r="20" spans="1:14" x14ac:dyDescent="0.55000000000000004">
      <c r="A20" s="55" t="s">
        <v>127</v>
      </c>
      <c r="B20" s="9">
        <v>1</v>
      </c>
      <c r="H20" s="1" t="s">
        <v>67</v>
      </c>
      <c r="I20" s="9">
        <v>1</v>
      </c>
      <c r="J20" s="9">
        <v>7</v>
      </c>
      <c r="K20" s="9">
        <v>4</v>
      </c>
      <c r="L20" s="9">
        <v>8</v>
      </c>
      <c r="M20" s="9">
        <v>1</v>
      </c>
      <c r="N20" s="9">
        <v>21</v>
      </c>
    </row>
    <row r="21" spans="1:14" x14ac:dyDescent="0.55000000000000004">
      <c r="A21" s="55" t="s">
        <v>265</v>
      </c>
      <c r="B21" s="9">
        <v>1</v>
      </c>
      <c r="H21" s="1" t="s">
        <v>128</v>
      </c>
      <c r="I21" s="9"/>
      <c r="J21" s="9"/>
      <c r="K21" s="9">
        <v>1</v>
      </c>
      <c r="L21" s="9"/>
      <c r="M21" s="9"/>
      <c r="N21" s="9">
        <v>1</v>
      </c>
    </row>
    <row r="22" spans="1:14" x14ac:dyDescent="0.55000000000000004">
      <c r="A22" s="55" t="s">
        <v>76</v>
      </c>
      <c r="B22" s="9">
        <v>1</v>
      </c>
      <c r="H22" s="1" t="s">
        <v>14</v>
      </c>
      <c r="I22" s="9">
        <v>1</v>
      </c>
      <c r="J22" s="9">
        <v>12</v>
      </c>
      <c r="K22" s="9">
        <v>16</v>
      </c>
      <c r="L22" s="9">
        <v>13</v>
      </c>
      <c r="M22" s="9">
        <v>3</v>
      </c>
      <c r="N22" s="9">
        <v>45</v>
      </c>
    </row>
    <row r="23" spans="1:14" x14ac:dyDescent="0.55000000000000004">
      <c r="A23" s="55" t="s">
        <v>265</v>
      </c>
      <c r="B23" s="9">
        <v>1</v>
      </c>
    </row>
    <row r="24" spans="1:14" x14ac:dyDescent="0.55000000000000004">
      <c r="A24" s="55" t="s">
        <v>14</v>
      </c>
      <c r="B24" s="9">
        <v>45</v>
      </c>
    </row>
    <row r="29" spans="1:14" ht="17.7" x14ac:dyDescent="0.55000000000000004">
      <c r="H29" s="56" t="s">
        <v>270</v>
      </c>
    </row>
    <row r="30" spans="1:14" x14ac:dyDescent="0.55000000000000004">
      <c r="H30" s="20" t="s">
        <v>271</v>
      </c>
      <c r="I30" s="20" t="s">
        <v>12</v>
      </c>
    </row>
    <row r="31" spans="1:14" x14ac:dyDescent="0.55000000000000004">
      <c r="H31" s="20" t="s">
        <v>13</v>
      </c>
      <c r="I31">
        <v>1</v>
      </c>
      <c r="J31">
        <v>2</v>
      </c>
      <c r="K31">
        <v>3</v>
      </c>
      <c r="L31" t="s">
        <v>14</v>
      </c>
    </row>
    <row r="32" spans="1:14" x14ac:dyDescent="0.55000000000000004">
      <c r="H32" s="1" t="s">
        <v>76</v>
      </c>
      <c r="I32" s="9"/>
      <c r="J32" s="9"/>
      <c r="K32" s="9">
        <v>1</v>
      </c>
      <c r="L32" s="9">
        <v>1</v>
      </c>
    </row>
    <row r="33" spans="8:12" x14ac:dyDescent="0.55000000000000004">
      <c r="H33" s="1" t="s">
        <v>65</v>
      </c>
      <c r="I33" s="9">
        <v>1</v>
      </c>
      <c r="J33" s="9">
        <v>11</v>
      </c>
      <c r="K33" s="9">
        <v>9</v>
      </c>
      <c r="L33" s="9">
        <v>21</v>
      </c>
    </row>
    <row r="34" spans="8:12" x14ac:dyDescent="0.55000000000000004">
      <c r="H34" s="1" t="s">
        <v>60</v>
      </c>
      <c r="I34" s="9">
        <v>4</v>
      </c>
      <c r="J34" s="9">
        <v>5</v>
      </c>
      <c r="K34" s="9">
        <v>9</v>
      </c>
      <c r="L34" s="9">
        <v>18</v>
      </c>
    </row>
    <row r="35" spans="8:12" x14ac:dyDescent="0.55000000000000004">
      <c r="H35" s="1" t="s">
        <v>71</v>
      </c>
      <c r="I35" s="9"/>
      <c r="J35" s="9">
        <v>2</v>
      </c>
      <c r="K35" s="9">
        <v>3</v>
      </c>
      <c r="L35" s="9">
        <v>5</v>
      </c>
    </row>
    <row r="36" spans="8:12" x14ac:dyDescent="0.55000000000000004">
      <c r="H36" s="1" t="s">
        <v>14</v>
      </c>
      <c r="I36" s="9">
        <v>5</v>
      </c>
      <c r="J36" s="9">
        <v>18</v>
      </c>
      <c r="K36" s="9">
        <v>22</v>
      </c>
      <c r="L36" s="9">
        <v>45</v>
      </c>
    </row>
    <row r="42" spans="8:12" x14ac:dyDescent="0.55000000000000004">
      <c r="H42" s="20" t="s">
        <v>268</v>
      </c>
      <c r="I42" s="20" t="s">
        <v>12</v>
      </c>
    </row>
    <row r="43" spans="8:12" x14ac:dyDescent="0.55000000000000004">
      <c r="H43" s="20" t="s">
        <v>13</v>
      </c>
      <c r="I43">
        <v>1</v>
      </c>
      <c r="J43">
        <v>2</v>
      </c>
      <c r="K43">
        <v>3</v>
      </c>
      <c r="L43" t="s">
        <v>14</v>
      </c>
    </row>
    <row r="44" spans="8:12" x14ac:dyDescent="0.55000000000000004">
      <c r="H44" s="1" t="s">
        <v>67</v>
      </c>
      <c r="I44" s="9">
        <v>1</v>
      </c>
      <c r="J44" s="9">
        <v>6</v>
      </c>
      <c r="K44" s="9">
        <v>14</v>
      </c>
      <c r="L44" s="9">
        <v>21</v>
      </c>
    </row>
    <row r="45" spans="8:12" x14ac:dyDescent="0.55000000000000004">
      <c r="H45" s="1" t="s">
        <v>61</v>
      </c>
      <c r="I45" s="9">
        <v>3</v>
      </c>
      <c r="J45" s="9">
        <v>10</v>
      </c>
      <c r="K45" s="9">
        <v>7</v>
      </c>
      <c r="L45" s="9">
        <v>20</v>
      </c>
    </row>
    <row r="46" spans="8:12" x14ac:dyDescent="0.55000000000000004">
      <c r="H46" s="1" t="s">
        <v>128</v>
      </c>
      <c r="I46" s="9"/>
      <c r="J46" s="9"/>
      <c r="K46" s="9">
        <v>1</v>
      </c>
      <c r="L46" s="9">
        <v>1</v>
      </c>
    </row>
    <row r="47" spans="8:12" x14ac:dyDescent="0.55000000000000004">
      <c r="H47" s="1" t="s">
        <v>171</v>
      </c>
      <c r="I47" s="9">
        <v>1</v>
      </c>
      <c r="J47" s="9">
        <v>2</v>
      </c>
      <c r="K47" s="9"/>
      <c r="L47" s="9">
        <v>3</v>
      </c>
    </row>
    <row r="48" spans="8:12" x14ac:dyDescent="0.55000000000000004">
      <c r="H48" s="1" t="s">
        <v>14</v>
      </c>
      <c r="I48" s="9">
        <v>5</v>
      </c>
      <c r="J48" s="9">
        <v>18</v>
      </c>
      <c r="K48" s="9">
        <v>22</v>
      </c>
      <c r="L48" s="9">
        <v>45</v>
      </c>
    </row>
  </sheetData>
  <pageMargins left="0.7" right="0.7" top="0.78740157500000008" bottom="0.78740157500000008"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19"/>
  <sheetViews>
    <sheetView zoomScale="70" workbookViewId="0">
      <selection activeCell="E29" sqref="E29"/>
    </sheetView>
  </sheetViews>
  <sheetFormatPr baseColWidth="10" defaultRowHeight="15.7" x14ac:dyDescent="0.55000000000000004"/>
  <cols>
    <col min="1" max="1" width="99" customWidth="1"/>
    <col min="2" max="2" width="22.94140625" bestFit="1" customWidth="1"/>
    <col min="3" max="3" width="8.94140625" bestFit="1" customWidth="1"/>
    <col min="4" max="4" width="29.6640625" bestFit="1" customWidth="1"/>
    <col min="5" max="5" width="29.1640625" bestFit="1" customWidth="1"/>
    <col min="6" max="6" width="28.0546875" bestFit="1" customWidth="1"/>
    <col min="7" max="7" width="28.6640625" bestFit="1" customWidth="1"/>
    <col min="8" max="8" width="16.33203125" bestFit="1" customWidth="1"/>
    <col min="9" max="9" width="18.33203125" bestFit="1" customWidth="1"/>
    <col min="10" max="10" width="16.1640625" bestFit="1" customWidth="1"/>
    <col min="11" max="11" width="14.5546875" bestFit="1" customWidth="1"/>
  </cols>
  <sheetData>
    <row r="3" spans="1:11" x14ac:dyDescent="0.55000000000000004">
      <c r="A3" s="20" t="s">
        <v>272</v>
      </c>
      <c r="B3" s="20" t="s">
        <v>12</v>
      </c>
    </row>
    <row r="4" spans="1:11" x14ac:dyDescent="0.55000000000000004">
      <c r="A4" s="20" t="s">
        <v>13</v>
      </c>
      <c r="B4" t="s">
        <v>15</v>
      </c>
      <c r="C4" t="s">
        <v>16</v>
      </c>
      <c r="D4" t="s">
        <v>17</v>
      </c>
      <c r="E4" t="s">
        <v>18</v>
      </c>
      <c r="F4" t="s">
        <v>19</v>
      </c>
      <c r="G4" t="s">
        <v>20</v>
      </c>
      <c r="H4" t="s">
        <v>21</v>
      </c>
      <c r="I4" t="s">
        <v>22</v>
      </c>
      <c r="J4" t="s">
        <v>23</v>
      </c>
      <c r="K4" t="s">
        <v>14</v>
      </c>
    </row>
    <row r="5" spans="1:11" x14ac:dyDescent="0.55000000000000004">
      <c r="A5" s="1" t="s">
        <v>60</v>
      </c>
      <c r="B5" s="9"/>
      <c r="C5" s="9"/>
      <c r="D5" s="9">
        <v>4</v>
      </c>
      <c r="E5" s="9">
        <v>9</v>
      </c>
      <c r="F5" s="9">
        <v>8</v>
      </c>
      <c r="G5" s="9">
        <v>1</v>
      </c>
      <c r="H5" s="9">
        <v>7</v>
      </c>
      <c r="I5" s="9">
        <v>3</v>
      </c>
      <c r="J5" s="9">
        <v>7</v>
      </c>
      <c r="K5" s="9">
        <v>39</v>
      </c>
    </row>
    <row r="6" spans="1:11" x14ac:dyDescent="0.55000000000000004">
      <c r="A6" s="44" t="s">
        <v>172</v>
      </c>
      <c r="B6" s="9"/>
      <c r="C6" s="9"/>
      <c r="D6" s="9"/>
      <c r="E6" s="9"/>
      <c r="F6" s="9"/>
      <c r="G6" s="9"/>
      <c r="H6" s="9"/>
      <c r="I6" s="9"/>
      <c r="J6" s="9">
        <v>1</v>
      </c>
      <c r="K6" s="9">
        <v>1</v>
      </c>
    </row>
    <row r="7" spans="1:11" x14ac:dyDescent="0.55000000000000004">
      <c r="A7" s="44" t="s">
        <v>205</v>
      </c>
      <c r="B7" s="9"/>
      <c r="C7" s="9"/>
      <c r="D7" s="9"/>
      <c r="E7" s="9"/>
      <c r="F7" s="9"/>
      <c r="G7" s="9"/>
      <c r="H7" s="9">
        <v>1</v>
      </c>
      <c r="I7" s="9"/>
      <c r="J7" s="9"/>
      <c r="K7" s="9">
        <v>1</v>
      </c>
    </row>
    <row r="8" spans="1:11" x14ac:dyDescent="0.55000000000000004">
      <c r="A8" s="44" t="s">
        <v>199</v>
      </c>
      <c r="B8" s="9"/>
      <c r="C8" s="9"/>
      <c r="D8" s="9"/>
      <c r="E8" s="9"/>
      <c r="F8" s="9">
        <v>1</v>
      </c>
      <c r="G8" s="9"/>
      <c r="H8" s="9"/>
      <c r="I8" s="9"/>
      <c r="J8" s="9"/>
      <c r="K8" s="9">
        <v>1</v>
      </c>
    </row>
    <row r="9" spans="1:11" x14ac:dyDescent="0.55000000000000004">
      <c r="A9" s="44" t="s">
        <v>211</v>
      </c>
      <c r="B9" s="9"/>
      <c r="C9" s="9"/>
      <c r="D9" s="9"/>
      <c r="E9" s="9"/>
      <c r="F9" s="9"/>
      <c r="G9" s="9"/>
      <c r="H9" s="9">
        <v>1</v>
      </c>
      <c r="I9" s="9"/>
      <c r="J9" s="9"/>
      <c r="K9" s="9">
        <v>1</v>
      </c>
    </row>
    <row r="10" spans="1:11" x14ac:dyDescent="0.55000000000000004">
      <c r="A10" s="44" t="s">
        <v>178</v>
      </c>
      <c r="B10" s="9"/>
      <c r="C10" s="9"/>
      <c r="D10" s="9"/>
      <c r="E10" s="9"/>
      <c r="F10" s="9"/>
      <c r="G10" s="9"/>
      <c r="H10" s="9"/>
      <c r="I10" s="9"/>
      <c r="J10" s="9">
        <v>1</v>
      </c>
      <c r="K10" s="9">
        <v>1</v>
      </c>
    </row>
    <row r="11" spans="1:11" x14ac:dyDescent="0.55000000000000004">
      <c r="A11" s="44" t="s">
        <v>265</v>
      </c>
      <c r="B11" s="9"/>
      <c r="C11" s="9"/>
      <c r="D11" s="9">
        <v>4</v>
      </c>
      <c r="E11" s="9">
        <v>9</v>
      </c>
      <c r="F11" s="9">
        <v>7</v>
      </c>
      <c r="G11" s="9">
        <v>1</v>
      </c>
      <c r="H11" s="9">
        <v>5</v>
      </c>
      <c r="I11" s="9">
        <v>3</v>
      </c>
      <c r="J11" s="9">
        <v>5</v>
      </c>
      <c r="K11" s="9">
        <v>34</v>
      </c>
    </row>
    <row r="12" spans="1:11" x14ac:dyDescent="0.55000000000000004">
      <c r="A12" s="1" t="s">
        <v>65</v>
      </c>
      <c r="B12" s="9">
        <v>1</v>
      </c>
      <c r="C12" s="9">
        <v>2</v>
      </c>
      <c r="D12" s="9"/>
      <c r="E12" s="9"/>
      <c r="F12" s="9"/>
      <c r="G12" s="9"/>
      <c r="H12" s="9"/>
      <c r="I12" s="9"/>
      <c r="J12" s="9">
        <v>2</v>
      </c>
      <c r="K12" s="9">
        <v>5</v>
      </c>
    </row>
    <row r="13" spans="1:11" x14ac:dyDescent="0.55000000000000004">
      <c r="A13" s="44" t="s">
        <v>129</v>
      </c>
      <c r="B13" s="9">
        <v>1</v>
      </c>
      <c r="C13" s="9"/>
      <c r="D13" s="9"/>
      <c r="E13" s="9"/>
      <c r="F13" s="9"/>
      <c r="G13" s="9"/>
      <c r="H13" s="9"/>
      <c r="I13" s="9"/>
      <c r="J13" s="9"/>
      <c r="K13" s="9">
        <v>1</v>
      </c>
    </row>
    <row r="14" spans="1:11" x14ac:dyDescent="0.55000000000000004">
      <c r="A14" s="44" t="s">
        <v>84</v>
      </c>
      <c r="B14" s="9"/>
      <c r="C14" s="9"/>
      <c r="D14" s="9"/>
      <c r="E14" s="9"/>
      <c r="F14" s="9"/>
      <c r="G14" s="9"/>
      <c r="H14" s="9"/>
      <c r="I14" s="9"/>
      <c r="J14" s="9">
        <v>1</v>
      </c>
      <c r="K14" s="9">
        <v>1</v>
      </c>
    </row>
    <row r="15" spans="1:11" x14ac:dyDescent="0.55000000000000004">
      <c r="A15" s="44" t="s">
        <v>134</v>
      </c>
      <c r="B15" s="9"/>
      <c r="C15" s="9"/>
      <c r="D15" s="9"/>
      <c r="E15" s="9"/>
      <c r="F15" s="9"/>
      <c r="G15" s="9"/>
      <c r="H15" s="9"/>
      <c r="I15" s="9"/>
      <c r="J15" s="9">
        <v>1</v>
      </c>
      <c r="K15" s="9">
        <v>1</v>
      </c>
    </row>
    <row r="16" spans="1:11" x14ac:dyDescent="0.55000000000000004">
      <c r="A16" s="44" t="s">
        <v>265</v>
      </c>
      <c r="B16" s="9"/>
      <c r="C16" s="9">
        <v>2</v>
      </c>
      <c r="D16" s="9"/>
      <c r="E16" s="9"/>
      <c r="F16" s="9"/>
      <c r="G16" s="9"/>
      <c r="H16" s="9"/>
      <c r="I16" s="9"/>
      <c r="J16" s="9"/>
      <c r="K16" s="9">
        <v>2</v>
      </c>
    </row>
    <row r="17" spans="1:11" x14ac:dyDescent="0.55000000000000004">
      <c r="A17" s="1" t="s">
        <v>71</v>
      </c>
      <c r="B17" s="9"/>
      <c r="C17" s="9">
        <v>1</v>
      </c>
      <c r="D17" s="9"/>
      <c r="E17" s="9"/>
      <c r="F17" s="9"/>
      <c r="G17" s="9"/>
      <c r="H17" s="9"/>
      <c r="I17" s="9"/>
      <c r="J17" s="9"/>
      <c r="K17" s="9">
        <v>1</v>
      </c>
    </row>
    <row r="18" spans="1:11" x14ac:dyDescent="0.55000000000000004">
      <c r="A18" s="44" t="s">
        <v>73</v>
      </c>
      <c r="B18" s="9"/>
      <c r="C18" s="9">
        <v>1</v>
      </c>
      <c r="D18" s="9"/>
      <c r="E18" s="9"/>
      <c r="F18" s="9"/>
      <c r="G18" s="9"/>
      <c r="H18" s="9"/>
      <c r="I18" s="9"/>
      <c r="J18" s="9"/>
      <c r="K18" s="9">
        <v>1</v>
      </c>
    </row>
    <row r="19" spans="1:11" x14ac:dyDescent="0.55000000000000004">
      <c r="A19" s="1" t="s">
        <v>14</v>
      </c>
      <c r="B19" s="9">
        <v>1</v>
      </c>
      <c r="C19" s="9">
        <v>3</v>
      </c>
      <c r="D19" s="9">
        <v>4</v>
      </c>
      <c r="E19" s="9">
        <v>9</v>
      </c>
      <c r="F19" s="9">
        <v>8</v>
      </c>
      <c r="G19" s="9">
        <v>1</v>
      </c>
      <c r="H19" s="9">
        <v>7</v>
      </c>
      <c r="I19" s="9">
        <v>3</v>
      </c>
      <c r="J19" s="9">
        <v>9</v>
      </c>
      <c r="K19" s="9">
        <v>45</v>
      </c>
    </row>
  </sheetData>
  <pageMargins left="0.7" right="0.7" top="0.78740157500000008" bottom="0.78740157500000008"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1"/>
  <sheetViews>
    <sheetView zoomScale="70" workbookViewId="0">
      <selection activeCell="H32" sqref="H32"/>
    </sheetView>
  </sheetViews>
  <sheetFormatPr baseColWidth="10" defaultRowHeight="15.7" x14ac:dyDescent="0.55000000000000004"/>
  <cols>
    <col min="1" max="1" width="216.6640625" style="9" bestFit="1" customWidth="1"/>
    <col min="2" max="2" width="22.94140625" bestFit="1" customWidth="1"/>
    <col min="3" max="4" width="3.33203125" bestFit="1" customWidth="1"/>
    <col min="5" max="5" width="14.5546875" bestFit="1" customWidth="1"/>
    <col min="6" max="7" width="3.33203125" bestFit="1" customWidth="1"/>
    <col min="8" max="8" width="121.33203125" bestFit="1" customWidth="1"/>
    <col min="9" max="9" width="23.94140625" bestFit="1" customWidth="1"/>
  </cols>
  <sheetData>
    <row r="1" spans="1:5" x14ac:dyDescent="0.55000000000000004">
      <c r="A1"/>
    </row>
    <row r="3" spans="1:5" x14ac:dyDescent="0.55000000000000004">
      <c r="A3" s="20" t="s">
        <v>273</v>
      </c>
      <c r="B3" s="20" t="s">
        <v>12</v>
      </c>
    </row>
    <row r="4" spans="1:5" x14ac:dyDescent="0.55000000000000004">
      <c r="A4" s="20" t="s">
        <v>13</v>
      </c>
      <c r="B4">
        <v>1</v>
      </c>
      <c r="C4">
        <v>2</v>
      </c>
      <c r="D4">
        <v>3</v>
      </c>
      <c r="E4" t="s">
        <v>14</v>
      </c>
    </row>
    <row r="5" spans="1:5" x14ac:dyDescent="0.55000000000000004">
      <c r="A5" s="1" t="s">
        <v>60</v>
      </c>
      <c r="B5" s="9">
        <v>4</v>
      </c>
      <c r="C5" s="9">
        <v>18</v>
      </c>
      <c r="D5" s="9">
        <v>16</v>
      </c>
      <c r="E5" s="9">
        <v>38</v>
      </c>
    </row>
    <row r="6" spans="1:5" x14ac:dyDescent="0.55000000000000004">
      <c r="A6" s="1" t="s">
        <v>212</v>
      </c>
      <c r="B6" s="9"/>
      <c r="C6" s="9">
        <v>1</v>
      </c>
      <c r="D6" s="9"/>
      <c r="E6" s="9">
        <v>1</v>
      </c>
    </row>
    <row r="7" spans="1:5" x14ac:dyDescent="0.55000000000000004">
      <c r="A7" s="1" t="s">
        <v>85</v>
      </c>
      <c r="B7" s="9"/>
      <c r="C7" s="9"/>
      <c r="D7" s="9">
        <v>1</v>
      </c>
      <c r="E7" s="9">
        <v>1</v>
      </c>
    </row>
    <row r="8" spans="1:5" x14ac:dyDescent="0.55000000000000004">
      <c r="A8" s="1" t="s">
        <v>200</v>
      </c>
      <c r="B8" s="9"/>
      <c r="C8" s="9">
        <v>1</v>
      </c>
      <c r="D8" s="9"/>
      <c r="E8" s="9">
        <v>1</v>
      </c>
    </row>
    <row r="9" spans="1:5" x14ac:dyDescent="0.55000000000000004">
      <c r="A9" s="1" t="s">
        <v>173</v>
      </c>
      <c r="B9" s="9"/>
      <c r="C9" s="9">
        <v>1</v>
      </c>
      <c r="D9" s="9"/>
      <c r="E9" s="9">
        <v>1</v>
      </c>
    </row>
    <row r="10" spans="1:5" x14ac:dyDescent="0.55000000000000004">
      <c r="A10" s="1" t="s">
        <v>179</v>
      </c>
      <c r="B10" s="9"/>
      <c r="C10" s="9">
        <v>1</v>
      </c>
      <c r="D10" s="9"/>
      <c r="E10" s="9">
        <v>1</v>
      </c>
    </row>
    <row r="11" spans="1:5" x14ac:dyDescent="0.55000000000000004">
      <c r="A11" s="1" t="s">
        <v>206</v>
      </c>
      <c r="B11" s="9"/>
      <c r="C11" s="9">
        <v>1</v>
      </c>
      <c r="D11" s="9"/>
      <c r="E11" s="9">
        <v>1</v>
      </c>
    </row>
    <row r="12" spans="1:5" x14ac:dyDescent="0.55000000000000004">
      <c r="A12" s="1" t="s">
        <v>265</v>
      </c>
      <c r="B12" s="9">
        <v>4</v>
      </c>
      <c r="C12" s="9">
        <v>13</v>
      </c>
      <c r="D12" s="9">
        <v>15</v>
      </c>
      <c r="E12" s="9">
        <v>32</v>
      </c>
    </row>
    <row r="13" spans="1:5" x14ac:dyDescent="0.55000000000000004">
      <c r="A13" s="1" t="s">
        <v>65</v>
      </c>
      <c r="B13" s="14">
        <v>1</v>
      </c>
      <c r="C13" s="9"/>
      <c r="D13" s="9">
        <v>4</v>
      </c>
      <c r="E13" s="14">
        <v>5</v>
      </c>
    </row>
    <row r="14" spans="1:5" x14ac:dyDescent="0.55000000000000004">
      <c r="A14" s="1" t="s">
        <v>233</v>
      </c>
      <c r="B14" s="9">
        <v>1</v>
      </c>
      <c r="C14" s="9"/>
      <c r="D14" s="9"/>
      <c r="E14" s="9">
        <v>1</v>
      </c>
    </row>
    <row r="15" spans="1:5" x14ac:dyDescent="0.55000000000000004">
      <c r="A15" s="1" t="s">
        <v>265</v>
      </c>
      <c r="B15" s="9"/>
      <c r="C15" s="9"/>
      <c r="D15" s="9">
        <v>4</v>
      </c>
      <c r="E15" s="9">
        <v>4</v>
      </c>
    </row>
    <row r="16" spans="1:5" x14ac:dyDescent="0.55000000000000004">
      <c r="A16" s="1" t="s">
        <v>71</v>
      </c>
      <c r="B16" s="9"/>
      <c r="C16" s="9"/>
      <c r="D16" s="9">
        <v>1</v>
      </c>
      <c r="E16" s="9">
        <v>1</v>
      </c>
    </row>
    <row r="17" spans="1:5" x14ac:dyDescent="0.55000000000000004">
      <c r="A17" s="1" t="s">
        <v>265</v>
      </c>
      <c r="B17" s="9"/>
      <c r="C17" s="9"/>
      <c r="D17" s="9">
        <v>1</v>
      </c>
      <c r="E17" s="9">
        <v>1</v>
      </c>
    </row>
    <row r="18" spans="1:5" x14ac:dyDescent="0.55000000000000004">
      <c r="A18" s="1" t="s">
        <v>76</v>
      </c>
      <c r="B18" s="9"/>
      <c r="C18" s="9"/>
      <c r="D18" s="9">
        <v>1</v>
      </c>
      <c r="E18" s="9">
        <v>1</v>
      </c>
    </row>
    <row r="19" spans="1:5" x14ac:dyDescent="0.55000000000000004">
      <c r="A19" s="1" t="s">
        <v>156</v>
      </c>
      <c r="B19" s="9"/>
      <c r="C19" s="9"/>
      <c r="D19" s="9">
        <v>1</v>
      </c>
      <c r="E19" s="9">
        <v>1</v>
      </c>
    </row>
    <row r="20" spans="1:5" x14ac:dyDescent="0.55000000000000004">
      <c r="A20" s="1" t="s">
        <v>14</v>
      </c>
      <c r="B20" s="9">
        <v>5</v>
      </c>
      <c r="C20" s="9">
        <v>18</v>
      </c>
      <c r="D20" s="9">
        <v>22</v>
      </c>
      <c r="E20" s="9">
        <v>45</v>
      </c>
    </row>
    <row r="21" spans="1:5" x14ac:dyDescent="0.55000000000000004">
      <c r="A21"/>
    </row>
  </sheetData>
  <pageMargins left="0.7" right="0.7" top="0.78740157500000008" bottom="0.78740157500000008"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D26"/>
  <sheetViews>
    <sheetView zoomScale="70" workbookViewId="0">
      <selection activeCell="AH72" sqref="AH72"/>
    </sheetView>
  </sheetViews>
  <sheetFormatPr baseColWidth="10" defaultRowHeight="15.7" x14ac:dyDescent="0.55000000000000004"/>
  <cols>
    <col min="1" max="1" width="255" bestFit="1" customWidth="1"/>
    <col min="2" max="2" width="22.94140625" bestFit="1" customWidth="1"/>
    <col min="3" max="4" width="2.1640625" bestFit="1" customWidth="1"/>
    <col min="5" max="5" width="14.44140625" bestFit="1" customWidth="1"/>
  </cols>
  <sheetData>
    <row r="3" spans="1:4" x14ac:dyDescent="0.55000000000000004">
      <c r="A3" s="20" t="s">
        <v>274</v>
      </c>
      <c r="B3" s="20" t="s">
        <v>12</v>
      </c>
    </row>
    <row r="4" spans="1:4" x14ac:dyDescent="0.55000000000000004">
      <c r="A4" s="20" t="s">
        <v>13</v>
      </c>
      <c r="B4">
        <v>1</v>
      </c>
      <c r="C4">
        <v>2</v>
      </c>
      <c r="D4">
        <v>3</v>
      </c>
    </row>
    <row r="5" spans="1:4" x14ac:dyDescent="0.55000000000000004">
      <c r="A5" s="1" t="s">
        <v>174</v>
      </c>
      <c r="B5" s="9"/>
      <c r="C5" s="9">
        <v>1</v>
      </c>
      <c r="D5" s="9"/>
    </row>
    <row r="6" spans="1:4" x14ac:dyDescent="0.55000000000000004">
      <c r="A6" s="1" t="s">
        <v>225</v>
      </c>
      <c r="B6" s="9">
        <v>1</v>
      </c>
      <c r="C6" s="9"/>
      <c r="D6" s="9"/>
    </row>
    <row r="7" spans="1:4" x14ac:dyDescent="0.55000000000000004">
      <c r="A7" s="1" t="s">
        <v>182</v>
      </c>
      <c r="B7" s="9"/>
      <c r="C7" s="9">
        <v>1</v>
      </c>
      <c r="D7" s="9"/>
    </row>
    <row r="8" spans="1:4" x14ac:dyDescent="0.55000000000000004">
      <c r="A8" s="1" t="s">
        <v>217</v>
      </c>
      <c r="B8" s="9"/>
      <c r="C8" s="9">
        <v>1</v>
      </c>
      <c r="D8" s="9"/>
    </row>
    <row r="9" spans="1:4" x14ac:dyDescent="0.55000000000000004">
      <c r="A9" s="1" t="s">
        <v>99</v>
      </c>
      <c r="B9" s="9"/>
      <c r="C9" s="9"/>
      <c r="D9" s="9">
        <v>1</v>
      </c>
    </row>
    <row r="10" spans="1:4" x14ac:dyDescent="0.55000000000000004">
      <c r="A10" s="1" t="s">
        <v>135</v>
      </c>
      <c r="B10" s="9"/>
      <c r="C10" s="9"/>
      <c r="D10" s="9">
        <v>1</v>
      </c>
    </row>
    <row r="11" spans="1:4" x14ac:dyDescent="0.55000000000000004">
      <c r="A11" s="1" t="s">
        <v>213</v>
      </c>
      <c r="B11" s="9"/>
      <c r="C11" s="9">
        <v>1</v>
      </c>
      <c r="D11" s="9"/>
    </row>
    <row r="12" spans="1:4" x14ac:dyDescent="0.55000000000000004">
      <c r="A12" s="1" t="s">
        <v>180</v>
      </c>
      <c r="B12" s="9"/>
      <c r="C12" s="9">
        <v>1</v>
      </c>
      <c r="D12" s="9"/>
    </row>
    <row r="13" spans="1:4" x14ac:dyDescent="0.55000000000000004">
      <c r="A13" s="1" t="s">
        <v>145</v>
      </c>
      <c r="B13" s="9"/>
      <c r="C13" s="9"/>
      <c r="D13" s="9">
        <v>1</v>
      </c>
    </row>
    <row r="14" spans="1:4" x14ac:dyDescent="0.55000000000000004">
      <c r="A14" s="1" t="s">
        <v>92</v>
      </c>
      <c r="B14" s="9"/>
      <c r="C14" s="9"/>
      <c r="D14" s="9">
        <v>1</v>
      </c>
    </row>
    <row r="15" spans="1:4" x14ac:dyDescent="0.55000000000000004">
      <c r="A15" s="1" t="s">
        <v>78</v>
      </c>
      <c r="B15" s="9"/>
      <c r="C15" s="9"/>
      <c r="D15" s="9">
        <v>1</v>
      </c>
    </row>
    <row r="16" spans="1:4" x14ac:dyDescent="0.55000000000000004">
      <c r="A16" s="1" t="s">
        <v>220</v>
      </c>
      <c r="B16" s="9"/>
      <c r="C16" s="9">
        <v>1</v>
      </c>
      <c r="D16" s="9"/>
    </row>
    <row r="17" spans="1:4" x14ac:dyDescent="0.55000000000000004">
      <c r="A17" s="1" t="s">
        <v>104</v>
      </c>
      <c r="B17" s="9"/>
      <c r="C17" s="9"/>
      <c r="D17" s="9">
        <v>1</v>
      </c>
    </row>
    <row r="18" spans="1:4" x14ac:dyDescent="0.55000000000000004">
      <c r="A18" s="1" t="s">
        <v>223</v>
      </c>
      <c r="B18" s="9"/>
      <c r="C18" s="9">
        <v>1</v>
      </c>
      <c r="D18" s="9"/>
    </row>
    <row r="19" spans="1:4" x14ac:dyDescent="0.55000000000000004">
      <c r="A19" s="1" t="s">
        <v>130</v>
      </c>
      <c r="B19" s="9"/>
      <c r="C19" s="9"/>
      <c r="D19" s="9">
        <v>1</v>
      </c>
    </row>
    <row r="20" spans="1:4" x14ac:dyDescent="0.55000000000000004">
      <c r="A20" s="1" t="s">
        <v>230</v>
      </c>
      <c r="B20" s="9">
        <v>1</v>
      </c>
      <c r="C20" s="9"/>
      <c r="D20" s="9"/>
    </row>
    <row r="21" spans="1:4" x14ac:dyDescent="0.55000000000000004">
      <c r="A21" s="1" t="s">
        <v>163</v>
      </c>
      <c r="B21" s="9"/>
      <c r="C21" s="9">
        <v>1</v>
      </c>
      <c r="D21" s="9"/>
    </row>
    <row r="22" spans="1:4" x14ac:dyDescent="0.55000000000000004">
      <c r="A22" s="1" t="s">
        <v>150</v>
      </c>
      <c r="B22" s="9"/>
      <c r="C22" s="9"/>
      <c r="D22" s="9">
        <v>1</v>
      </c>
    </row>
    <row r="23" spans="1:4" x14ac:dyDescent="0.55000000000000004">
      <c r="A23" s="1" t="s">
        <v>207</v>
      </c>
      <c r="B23" s="9"/>
      <c r="C23" s="9">
        <v>1</v>
      </c>
      <c r="D23" s="9"/>
    </row>
    <row r="24" spans="1:4" x14ac:dyDescent="0.55000000000000004">
      <c r="A24" s="1" t="s">
        <v>140</v>
      </c>
      <c r="B24" s="9"/>
      <c r="C24" s="9"/>
      <c r="D24" s="9">
        <v>1</v>
      </c>
    </row>
    <row r="25" spans="1:4" x14ac:dyDescent="0.55000000000000004">
      <c r="A25" s="1" t="s">
        <v>86</v>
      </c>
      <c r="B25" s="9"/>
      <c r="C25" s="9"/>
      <c r="D25" s="9">
        <v>1</v>
      </c>
    </row>
    <row r="26" spans="1:4" x14ac:dyDescent="0.55000000000000004">
      <c r="A26" s="1" t="s">
        <v>265</v>
      </c>
      <c r="B26" s="9"/>
      <c r="C26" s="9"/>
      <c r="D26" s="9"/>
    </row>
  </sheetData>
  <pageMargins left="0.7" right="0.7" top="0.78740157500000008" bottom="0.78740157500000008"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3DA049-FC0B-4111-9981-5F93F4AEC4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Quote</vt:lpstr>
      <vt:lpstr>Standorte</vt:lpstr>
      <vt:lpstr>Examsfragen</vt:lpstr>
      <vt:lpstr>Feedback</vt:lpstr>
      <vt:lpstr>1) Beruflicher Hintergrund</vt:lpstr>
      <vt:lpstr>4) Infoquelle</vt:lpstr>
      <vt:lpstr>5) Beweggrund</vt:lpstr>
      <vt:lpstr>6) &amp; 7) Lernkurs</vt:lpstr>
      <vt:lpstr>8), 9), 10) Examsfragen</vt:lpstr>
      <vt:lpstr>11) Organisation</vt:lpstr>
      <vt:lpstr>12) Weiterempfehlung</vt:lpstr>
      <vt:lpstr>13)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OpenSpout</dc:creator>
  <cp:keywords/>
  <dc:description/>
  <cp:lastModifiedBy>Laura Eppler</cp:lastModifiedBy>
  <cp:revision>1</cp:revision>
  <dcterms:created xsi:type="dcterms:W3CDTF">2025-10-23T07:02:57Z</dcterms:created>
  <dcterms:modified xsi:type="dcterms:W3CDTF">2025-12-10T06:59:02Z</dcterms:modified>
  <cp:category/>
  <dc:language/>
</cp:coreProperties>
</file>